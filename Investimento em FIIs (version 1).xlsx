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3d80d0f0a0c28023/Documentos/ASSINV/"/>
    </mc:Choice>
  </mc:AlternateContent>
  <xr:revisionPtr revIDLastSave="368" documentId="13_ncr:1_{85832B7A-75B7-4F79-A025-F3131A3A537B}" xr6:coauthVersionLast="47" xr6:coauthVersionMax="47" xr10:uidLastSave="{B7775400-5333-4D7E-AAF7-526724653723}"/>
  <bookViews>
    <workbookView xWindow="-108" yWindow="-108" windowWidth="30936" windowHeight="16776" tabRatio="337" activeTab="1" xr2:uid="{0335A938-C520-48F6-994E-414E84BBF69E}"/>
  </bookViews>
  <sheets>
    <sheet name="Resumo sobre FIIs" sheetId="4" r:id="rId1"/>
    <sheet name="Calculadora" sheetId="6" r:id="rId2"/>
    <sheet name="Resumo da Calculadora" sheetId="7" r:id="rId3"/>
    <sheet name="PROCV" sheetId="8" r:id="rId4"/>
  </sheets>
  <definedNames>
    <definedName name="aporte_mensal">Calculadora!$D$12</definedName>
    <definedName name="dy_mensal">Calculadora!$D$16</definedName>
    <definedName name="ganho_acumulado">Calculadora!$D$19</definedName>
    <definedName name="patrimonio_acumulado">Calculadora!$D$20</definedName>
    <definedName name="renda_mensal">Calculadora!$D$21</definedName>
    <definedName name="rendimento_carteira">Calculadora!$D$17</definedName>
    <definedName name="salario">Calculadora!$D$10</definedName>
    <definedName name="tempo_de_aportes">Calculadora!$D$15</definedName>
    <definedName name="total_aporte">Calculadora!$D$18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2" i="6" l="1"/>
  <c r="D19" i="6"/>
  <c r="D18" i="6"/>
  <c r="C35" i="6"/>
  <c r="C36" i="6"/>
  <c r="C37" i="6"/>
  <c r="C38" i="6"/>
  <c r="C39" i="6"/>
  <c r="C34" i="6"/>
  <c r="H6" i="8"/>
  <c r="A10" i="8"/>
  <c r="A11" i="8"/>
  <c r="A12" i="8"/>
  <c r="A13" i="8"/>
  <c r="A14" i="8"/>
  <c r="A15" i="8"/>
  <c r="A16" i="8"/>
  <c r="A17" i="8"/>
  <c r="A18" i="8"/>
  <c r="A19" i="8"/>
  <c r="A20" i="8"/>
  <c r="A9" i="8"/>
  <c r="A4" i="8"/>
  <c r="A5" i="8"/>
  <c r="A6" i="8"/>
  <c r="A7" i="8"/>
  <c r="A8" i="8"/>
  <c r="A3" i="8"/>
  <c r="D31" i="6" l="1"/>
  <c r="C25" i="6"/>
  <c r="D25" i="6" s="1"/>
  <c r="C26" i="6"/>
  <c r="D26" i="6" s="1"/>
  <c r="C27" i="6"/>
  <c r="D27" i="6" s="1"/>
  <c r="C28" i="6"/>
  <c r="D28" i="6" s="1"/>
  <c r="C24" i="6"/>
  <c r="D24" i="6" s="1"/>
  <c r="D20" i="6"/>
  <c r="D21" i="6" s="1"/>
  <c r="D34" i="6" l="1"/>
  <c r="D39" i="6"/>
  <c r="D36" i="6"/>
  <c r="D38" i="6"/>
  <c r="D37" i="6"/>
  <c r="D35" i="6"/>
</calcChain>
</file>

<file path=xl/sharedStrings.xml><?xml version="1.0" encoding="utf-8"?>
<sst xmlns="http://schemas.openxmlformats.org/spreadsheetml/2006/main" count="147" uniqueCount="106">
  <si>
    <t>Salário</t>
  </si>
  <si>
    <t>CONFIGURAÇÕES</t>
  </si>
  <si>
    <t>PATRIMÔNIO ACUMULADO</t>
  </si>
  <si>
    <t>RENDA MENSAL</t>
  </si>
  <si>
    <t>O que são Fundos Imobiliários e como funcionam</t>
  </si>
  <si>
    <t>Para a Comissão de Valores Mobiliários (CVM), os Fundos de Investimento Imobiliário são "comunhões de recursos captados por meio do sistema de distribuição de valores mobiliários e destinados à aplicação em empreendimentos imobiliários".</t>
  </si>
  <si>
    <t>É como se você e milhares de outras pessoas juntassem dinheiro para comprar imóveis comerciais e dividissem os lucros proporcionalmente.</t>
  </si>
  <si>
    <t>A diferença é que, em vez de lidar com contratos de locação, manutenção e inadimplência, você apenas recebe sua parte dos rendimentos mensalmente.</t>
  </si>
  <si>
    <r>
      <t xml:space="preserve">O funcionamento é simples. Quando você compra cotas de um FII, está adquirindo uma </t>
    </r>
    <r>
      <rPr>
        <b/>
        <sz val="14"/>
        <color theme="1"/>
        <rFont val="Aptos Narrow"/>
        <family val="2"/>
        <scheme val="minor"/>
      </rPr>
      <t>pequena fração de um portfólio imobiliário.</t>
    </r>
    <r>
      <rPr>
        <sz val="14"/>
        <color theme="1"/>
        <rFont val="Aptos Narrow"/>
        <family val="2"/>
        <scheme val="minor"/>
      </rPr>
      <t xml:space="preserve"> É como comprar uma "fatia" de um shopping center ou de um edifício comercial. </t>
    </r>
  </si>
  <si>
    <t>Conheça os tipos de Fundos Imobiliários</t>
  </si>
  <si>
    <t>Os principais tipos de Fundos Imobiliários são os de tijolo, papel, Fundos de Fundos (FoFs), híbridos, Fiagros e Fundos de desenvolvimento. Confira os detalhes:</t>
  </si>
  <si>
    <t>FIIs de Tijolo</t>
  </si>
  <si>
    <t>Os FIIs de tijolo possuem imóveis físicos reais. Shoppings, edifícios comerciais, galpões logísticos, hospitais, hotéis, se você pode tocar, provavelmente existe um FII de tijolo para isso. Estes fundos vivem da receita de aluguéis e, eventualmente, da valorização dos imóveis.</t>
  </si>
  <si>
    <t>A grande vantagem está na tangibilidade e na previsibilidade da renda. Contratos de locação bem estruturados podem proporcionar fluxo de caixa estável por anos.</t>
  </si>
  <si>
    <t>Por outro lado, a gestão é mais complexa, os custos operacionais são maiores, e a liquidez dos ativos é menor, afinal, não se vende um shopping center da noite para o dia.</t>
  </si>
  <si>
    <t>FIIs de Papel</t>
  </si>
  <si>
    <t>A principal vantagem desse modelo, está na maior liquidez e na possibilidade de diversificação geográfica e setorial mais ampla. Os custos operacionais também tendem a ser menores, já que não há imóveis físicos para manter.</t>
  </si>
  <si>
    <t>O trade-off? Maior complexidade na análise e dependência da saúde financeira dos emissores dos títulos.</t>
  </si>
  <si>
    <r>
      <t xml:space="preserve">Já os FIIs de papel não possuem imóveis físicos, mas sim títulos e valores mobiliários do setor imobiliário. </t>
    </r>
    <r>
      <rPr>
        <b/>
        <sz val="14"/>
        <color theme="1"/>
        <rFont val="Aptos Narrow"/>
        <family val="2"/>
        <scheme val="minor"/>
      </rPr>
      <t>Certificados de Recebíveis Imobiliários (CRIs), Letras de Crédito Imobiliário (LCIs), debêntures de empresas do setor e cotas de outros FIIs.</t>
    </r>
  </si>
  <si>
    <t>FIIs Híbridos e Fundos de Fundos (FoFs)</t>
  </si>
  <si>
    <t>FIIs de Desenvolvimento e Fiagros</t>
  </si>
  <si>
    <r>
      <t>Já os</t>
    </r>
    <r>
      <rPr>
        <sz val="14"/>
        <color theme="6"/>
        <rFont val="Aptos Narrow"/>
        <family val="2"/>
        <scheme val="minor"/>
      </rPr>
      <t xml:space="preserve"> </t>
    </r>
    <r>
      <rPr>
        <sz val="14"/>
        <color rgb="FF00B050"/>
        <rFont val="Aptos Narrow"/>
        <family val="2"/>
        <scheme val="minor"/>
      </rPr>
      <t>FIIs de desenvolvimento</t>
    </r>
    <r>
      <rPr>
        <sz val="14"/>
        <color theme="1"/>
        <rFont val="Aptos Narrow"/>
        <family val="2"/>
        <scheme val="minor"/>
      </rPr>
      <t xml:space="preserve"> são quem tem uma casca mais dura. Eles financiam a construção de empreendimentos, oferecendo potencial de retorno maior em troca de riscos significativamente superiores. Porém, atrasos na obra, orçamento apertado, mudanças na demanda… tudo isso pode impactar drasticamente os resultados.</t>
    </r>
  </si>
  <si>
    <r>
      <t>Os</t>
    </r>
    <r>
      <rPr>
        <sz val="14"/>
        <color theme="6"/>
        <rFont val="Aptos Narrow"/>
        <family val="2"/>
        <scheme val="minor"/>
      </rPr>
      <t xml:space="preserve"> </t>
    </r>
    <r>
      <rPr>
        <sz val="14"/>
        <color rgb="FF00B050"/>
        <rFont val="Aptos Narrow"/>
        <family val="2"/>
        <scheme val="minor"/>
      </rPr>
      <t>FIIs Híbridos</t>
    </r>
    <r>
      <rPr>
        <sz val="14"/>
        <color theme="1"/>
        <rFont val="Aptos Narrow"/>
        <family val="2"/>
        <scheme val="minor"/>
      </rPr>
      <t xml:space="preserve"> fazem jus ao nome: combinam imóveis físicos e papéis em suas carteiras, buscando equilibrar estabilidade e flexibilidade. Já os </t>
    </r>
    <r>
      <rPr>
        <sz val="14"/>
        <color theme="6"/>
        <rFont val="Aptos Narrow"/>
        <family val="2"/>
        <scheme val="minor"/>
      </rPr>
      <t>Fundos de Fundos</t>
    </r>
    <r>
      <rPr>
        <sz val="14"/>
        <color theme="1"/>
        <rFont val="Aptos Narrow"/>
        <family val="2"/>
        <scheme val="minor"/>
      </rPr>
      <t xml:space="preserve"> investem exclusivamente em cotas de outros FIIs, funcionando como uma espécie de "FII dos FIIs".</t>
    </r>
  </si>
  <si>
    <r>
      <t>Os</t>
    </r>
    <r>
      <rPr>
        <sz val="14"/>
        <color rgb="FF00B050"/>
        <rFont val="Aptos Narrow"/>
        <family val="2"/>
        <scheme val="minor"/>
      </rPr>
      <t xml:space="preserve"> FoFs</t>
    </r>
    <r>
      <rPr>
        <sz val="14"/>
        <color theme="1"/>
        <rFont val="Aptos Narrow"/>
        <family val="2"/>
        <scheme val="minor"/>
      </rPr>
      <t xml:space="preserve"> são interessantes para investidores que querem diversificação máxima com o mínimo de trabalho de análise. É como contratar um especialista para montar sua carteira de FIIs. Claro que isso vem com uma camada adicional de taxa de administração, mas para muitos, a conveniência compensa.</t>
    </r>
  </si>
  <si>
    <r>
      <t xml:space="preserve">Os </t>
    </r>
    <r>
      <rPr>
        <sz val="14"/>
        <color rgb="FF00B050"/>
        <rFont val="Aptos Narrow"/>
        <family val="2"/>
        <scheme val="minor"/>
      </rPr>
      <t xml:space="preserve">Fiagros </t>
    </r>
    <r>
      <rPr>
        <sz val="14"/>
        <color theme="1"/>
        <rFont val="Aptos Narrow"/>
        <family val="2"/>
        <scheme val="minor"/>
      </rPr>
      <t>(Fundos de Investimento nas Cadeias Produtivas Agroindustriais) são focados no agronegócio. Silos, armazéns, terras produtivas, unidades de processamento, é um campo fértil para oportunidades, levando em consideração que o Brasil é uma potência agrícola.</t>
    </r>
  </si>
  <si>
    <t>Como funcionam os rendimentos e dividendos dos FIIs</t>
  </si>
  <si>
    <t>Os Fundos de Investimento Imobiliário distribuem parte dos lucros gerados pelas suas atividades aos investidores, na forma de rendimentos ou dividendos. Esses valores vêm, principalmente, do recebimento de aluguéis de imóveis pertencentes ao fundo.</t>
  </si>
  <si>
    <t>Por lei, os FIIs devem distribuir no mínimo 95% do lucro líquido, apurado semestralmente, mas na prática a maioria realiza pagamentos mensais, o que atrai quem busca renda recorrente.</t>
  </si>
  <si>
    <t>O valor que cada investidor recebe depende da quantidade de cotas que possui. Ou seja, quanto mais cotas de FIIs na carteira, maior será o rendimento.</t>
  </si>
  <si>
    <t>Como investir em Fundos Imobiliários</t>
  </si>
  <si>
    <t>O primeiro passo para investir em Fundos Imobiliários é escolher uma corretora de valores. Com a conta aberta, a parte mais importante é a seleção dos fundos.</t>
  </si>
  <si>
    <t>Por isso, a análise de FIIs requer atenção a alguns indicadores fundamentais.</t>
  </si>
  <si>
    <r>
      <t>Dividend yield</t>
    </r>
    <r>
      <rPr>
        <sz val="14"/>
        <color theme="1"/>
        <rFont val="Aptos Narrow"/>
        <family val="2"/>
        <scheme val="minor"/>
      </rPr>
      <t xml:space="preserve"> é o mais conhecido, ele mostra quanto o fundo paga de rendimentos em relação ao preço da cota. Mas cuidado: um yield muito alto pode indicar problemas no fundo ou expectativa de queda nos rendimentos futuros.</t>
    </r>
  </si>
  <si>
    <r>
      <t>Vacância</t>
    </r>
    <r>
      <rPr>
        <sz val="14"/>
        <color theme="1"/>
        <rFont val="Aptos Narrow"/>
        <family val="2"/>
        <scheme val="minor"/>
      </rPr>
      <t xml:space="preserve"> é crucial para FIIs de tijolo. Indica o percentual de área não alocada no portfólio. Uma vacância alta pode significar problemas na gestão, localização inadequada ou superoferta no mercado. Para FIIs de shopping, por exemplo, uma vacância superior a 15% merece atenção redobrada.</t>
    </r>
  </si>
  <si>
    <r>
      <t xml:space="preserve">Liquidez </t>
    </r>
    <r>
      <rPr>
        <sz val="14"/>
        <color theme="1"/>
        <rFont val="Aptos Narrow"/>
        <family val="2"/>
        <scheme val="minor"/>
      </rPr>
      <t>das cotas também é importante, especialmente se você pretende rebalancear a carteira periodicamente. Volume de negociação baixo pode significar dificuldade para vender as cotas quando necessário, além de spreads maiores entre compra e venda.</t>
    </r>
  </si>
  <si>
    <t>Riscos e cuidados</t>
  </si>
  <si>
    <t>Existem riscos específicos que todo investidor precisa conhecer para não ser pego desprevenido.</t>
  </si>
  <si>
    <t>A vacância é o pesadelo de todo FII de tijolo. Quando os inquilinos saem e não conseguem ser substituídos rapidamente, a receita despenca. Shopping centers em crise, edifícios comerciais em regiões que perderam dinamismo, ou simplesmente excesso de oferta no mercado podem elevar perigosamente a vacância.</t>
  </si>
  <si>
    <t>A volatilidade do mercado pode surpreender investidores acostumados com a estabilidade dos rendimentos. As cotas dos FIIs oscilam na Bolsa conforme a percepção dos investidores sobre o setor imobiliário, taxa de juros, perspectivas econômicas e características específicas de cada fundo.</t>
  </si>
  <si>
    <t>Impacto das taxas de juros</t>
  </si>
  <si>
    <t>Quando a Selic sobe, investimentos de renda fixa ficam mais atraentes, reduzindo a demanda por FIIs e pressionando as cotações para baixo. Além disso, juros altos encarecem o financiamento imobiliário, podendo reduzir a demanda por imóveis e afetar a capacidade dos inquilinos de pagar aluguéis.</t>
  </si>
  <si>
    <t>Os FIIs de desenvolvimento têm riscos adicionais. Atrasos na construção, estouro de orçamento, mudanças na regulamentação urbana, ou simplesmente erro na projeção de demanda podem transformar um investimento promissor em um pesadelo financeiro. É investimento para quem quer incorporar o risco. </t>
  </si>
  <si>
    <t>Tributação nos investimentos em FIIs</t>
  </si>
  <si>
    <t>A regulamentação dos FIIs no Brasil tem uma história interessante. Tudo começou com a Lei 8.668/93, que criou os fundos, mas o verdadeiro boom veio com as modificações posteriores, especialmente a Lei 9.779/99 e as instruções normativas da CVM que se seguiram. </t>
  </si>
  <si>
    <t>A ideia sempre foi criar um veículo de investimento acessível para o mercado imobiliário, com tratamento tributário favorecido.</t>
  </si>
  <si>
    <t>Agora vem a parte que todo investidor ama nos fundos imobiliários: a tributação. Os FIIs recebem um dos tratamentos fiscais mais atraentes do mercado brasileiro. Os rendimentos distribuídos são isentos de Imposto de Renda para pessoas físicas, desde que algumas condições sejam atendidas.</t>
  </si>
  <si>
    <t>Condições para isenção de IR</t>
  </si>
  <si>
    <t>Para usufruir da isenção dos rendimentos, você precisa ter menos de 10% das cotas do fundo, o fundo deve ter mais de 50 cotistas, e as cotas devem ser negociadas exclusivamente na Bolsa. É quase impossível não atender esses critérios comprando FIIs pela B3.</t>
  </si>
  <si>
    <t>Vale lembrar que operações de day trade com FIIs (compra e venda no mesmo dia) são tributadas em 20% sobre o ganho, independentemente do valor.</t>
  </si>
  <si>
    <r>
      <t xml:space="preserve">A inadimplência é outro risco, mesmo com inquilinos, se eles não pagam em dia, o resultado é parecido com a vacância. Crises econômicas tendem a </t>
    </r>
    <r>
      <rPr>
        <b/>
        <sz val="14"/>
        <color theme="1"/>
        <rFont val="Aptos Narrow"/>
        <family val="2"/>
        <scheme val="minor"/>
      </rPr>
      <t>aumentar a inadimplência</t>
    </r>
    <r>
      <rPr>
        <sz val="14"/>
        <color theme="1"/>
        <rFont val="Aptos Narrow"/>
        <family val="2"/>
        <scheme val="minor"/>
      </rPr>
      <t>, especialmente em setores mais sensíveis ao ciclo econômico.</t>
    </r>
  </si>
  <si>
    <r>
      <t xml:space="preserve">Já o </t>
    </r>
    <r>
      <rPr>
        <b/>
        <sz val="14"/>
        <color theme="1"/>
        <rFont val="Aptos Narrow"/>
        <family val="2"/>
        <scheme val="minor"/>
      </rPr>
      <t>ganho de capital (quando você vende as cotas por mais do que pagou) é tributado em 20% sobre o lucro</t>
    </r>
    <r>
      <rPr>
        <sz val="14"/>
        <color theme="1"/>
        <rFont val="Aptos Narrow"/>
        <family val="2"/>
        <scheme val="minor"/>
      </rPr>
      <t>. Não há progressividade nem possibilidade de compensação com outras perdas, diferentemente das ações. É um valor fixo e pronto, sem muito mistério.</t>
    </r>
  </si>
  <si>
    <t>Rendimento Mensal Carteira</t>
  </si>
  <si>
    <t>No caso específico dos FIIs, esse indicador ganhou bastante relevância porque os fundos imobiliários são compostos, em grande parte, por ativos reais, como imóveis, cotas de outros fundos, certificados de recebíveis imobiliários e aplicações financeiras de baixo risco.</t>
  </si>
  <si>
    <r>
      <rPr>
        <b/>
        <sz val="14"/>
        <color theme="1"/>
        <rFont val="Aptos Narrow"/>
        <family val="2"/>
        <scheme val="minor"/>
      </rPr>
      <t>P/VP</t>
    </r>
    <r>
      <rPr>
        <sz val="14"/>
        <color theme="1"/>
        <rFont val="Aptos Narrow"/>
        <family val="2"/>
        <scheme val="minor"/>
      </rPr>
      <t xml:space="preserve"> é a sigla para "Preço sobre Valor Patrimonial. Trata-se de um indicador que compara o preço de negociação da cota do fundo imobiliário na bolsa com o valor patrimonial de cada cota, ou seja, quanto cada cotista tem de "patrimônio" dentro do fundo. Quando esse número está acima de 1, o mercado está pagando mais caro do que o valor patrimonial. Quando está abaixo de 1, o mercado está pagando mais barato do que o patrimônio.</t>
    </r>
  </si>
  <si>
    <t>O que significa cada faixa de P/VP</t>
  </si>
  <si>
    <t>A interpretação do P/VP varia de acordo com o tipo de fundo, a qualidade dos ativos e o momento do mercado, mas existem faixas de referência amplamente aceitas:</t>
  </si>
  <si>
    <t>P/VP entre 0,80 e 1,00 é visto como faixa neutra ou de leve desconto.</t>
  </si>
  <si>
    <t>P/VP próximo de 1,00 indica que o preço está alinhado com o patrimônio.</t>
  </si>
  <si>
    <t>P/VP entre 1,00 e 1,20 sugere que o mercado paga um prêmio moderado pela qualidade do fundo.</t>
  </si>
  <si>
    <t>Essas faixas não são regras fixas e devem ser ajustadas conforme o segmento do fundo. Fundos de tijolo, como shoppings e lajes corporativas, costumam operar em faixas diferentes dos fundos de papel, que investem em títulos imobiliários.</t>
  </si>
  <si>
    <t>P/VP abaixo de 0,80 costuma indicar forte desconto em relação ao patrimônio, o que pode sinalizar oportunidade, mas também pode ser um sinal de alerta sobre a qualidade dos ativos.</t>
  </si>
  <si>
    <t>P/VP acima de 1,20 indica prêmio elevado, comum em fundos muito procurados ou com ativos de alta qualidade percebida.</t>
  </si>
  <si>
    <t>Fatores que influenciam o P/VP de um FII</t>
  </si>
  <si>
    <t>Qualidade e localização dos ativos: Fundos com imóveis em regiões nobres, contratos longos e inquilinos sólidos tendem a operar com P/VP mais alto, pois o mercado entende que esses ativos são mais resilientes em momentos de crise. Fundos com ativos em regiões menos procuradas ou com contratos curtos costumam operar com P/VP menor.</t>
  </si>
  <si>
    <t>Nível de alavancagem: Fundos muito endividados tendem a ter P/VP menor, pois o risco percebido pelo mercado é maior. A alavancagem amplifica ganhos em momentos de valorização, mas também amplifica perdas em momentos de queda.</t>
  </si>
  <si>
    <t>Política de distribuição de dividendos: Fundos que distribuem consistentemente dividendos atrativos tendem a ser mais procurados, o que pode sustentar um P/VP elevado. Já fundos com distribuição irregular ou em queda costumam perder aportes do investidor e ver o P/VP recuar.</t>
  </si>
  <si>
    <t>Cenário macroeconômico: A taxa básica de juros, a inflação e as expectativas sobre o mercado imobiliário influenciam diretamente a atratividade dos FIIs em relação a outras aplicações. Quando a Selic está alta, por exemplo, muitos investidores migram para a renda fixa, pressionando os preços das cotas para baixo e reduzindo o P/VP dos fundos.</t>
  </si>
  <si>
    <t>PERFIL</t>
  </si>
  <si>
    <t>APORTE MENSAL</t>
  </si>
  <si>
    <t>O cálculo pressupõe que o primeiro aporte foi feito no início do primeiro mês para que já tenha rendimento e dividendos pagos.</t>
  </si>
  <si>
    <t>O patrimônio acumulado não considera impostos, taxas nem variações nas taxas, também não considera corretagens e pressupõe que os retornos sejam constantes e reinvestidos mensalmente.</t>
  </si>
  <si>
    <t>Total Aportado</t>
  </si>
  <si>
    <t>Ganho Acumulado</t>
  </si>
  <si>
    <t>Patrimônio acumulado</t>
  </si>
  <si>
    <t>Dividend Yield Mensal</t>
  </si>
  <si>
    <t>Tempo Total de Aportes(anos)</t>
  </si>
  <si>
    <t>Renda Mensal após período de aporte</t>
  </si>
  <si>
    <t>TIPO DE FII</t>
  </si>
  <si>
    <t>PERCENTUAL SUGERIDO</t>
  </si>
  <si>
    <t>VALORES</t>
  </si>
  <si>
    <t>PAPEL</t>
  </si>
  <si>
    <t>TIJOLO</t>
  </si>
  <si>
    <t>HÍBRIDOS</t>
  </si>
  <si>
    <t>FOFs</t>
  </si>
  <si>
    <t>DESENVOLVIMENTO</t>
  </si>
  <si>
    <t>FIAGRO</t>
  </si>
  <si>
    <t>Conservador</t>
  </si>
  <si>
    <t>Moderado</t>
  </si>
  <si>
    <t>Agressivo</t>
  </si>
  <si>
    <t>CHAVE</t>
  </si>
  <si>
    <t>%</t>
  </si>
  <si>
    <t>Moderado-TIJOLO</t>
  </si>
  <si>
    <t xml:space="preserve">INVESTIMENTO </t>
  </si>
  <si>
    <t xml:space="preserve"> 2 Anos</t>
  </si>
  <si>
    <t>5 Anos</t>
  </si>
  <si>
    <t>10 Anos</t>
  </si>
  <si>
    <t>20 Anos</t>
  </si>
  <si>
    <t>30 Anos</t>
  </si>
  <si>
    <t xml:space="preserve">CENÁRIOS  DE APORTE                             </t>
  </si>
  <si>
    <t>O cálculo da renda mensal é o somatório dos aportes mensais(Aporte Mensal e reinvestimento dos dividendos) e Rendimento Mensal da Carteira.</t>
  </si>
  <si>
    <t>Há uma diferença importante entre resgatar um percentual ao mês e receber um percentual ao mês sem reduzir o patrimônio.
- Se o investimento continuar rendendo o somatório dos aportes mensais(Aporte Mensal e reinvestimento dos dividendos) e Rendimento Mensal da Carteira ao mês e você retirar exatamente esse percentual sobre o saldo, o patrimônio permanecerá aproximadamente constante, antes de impostos, taxas e oscilações.
- Se o rendimento efetivo for inferior ao percentual resgatado, o patrimônio diminuirá.
- Se o rendimento superar o resgate, o patrimônio poderá crescer.
A renda calculada é, portanto, uma estimativa bruta inicial, não uma garantia de rendimento. A sustentabilidade depende de o investimento realmente entregar essa taxa líquida de custos e tributos.</t>
  </si>
  <si>
    <t>Altere seu perfil aqui</t>
  </si>
  <si>
    <t>As linhas com fundo cinza são resultados dos dados inseridos nas linhas de fundo branco.</t>
  </si>
  <si>
    <t>O rendimento mensal da carteira leva em conta a evolução de rendimento do IFIX, que é o índice que mede o desempenho médio dos principais Fundos de Investimento Imobiliário (FIIs) listados na B3. Criado em 2012, o indicador reflete a variação dos preços e os rendimentos distribuídos pelos fundos que compõem sua carteira teórica.O IFIX reflete não só a valorização das cotas, mas também os rendimentos distribuídos como dividendos e juros sobre capital próprio. É um índice de retorno total, ou seja, considera tanto a oscilação dos preços quanto os proventos pagos. O seu retorno nos últimos 10 anos foi de cerca de 115%, por isso, não coloque valores muito fora do contexto real nas células Rendimento Mensal Carteira e Dividend Yield</t>
  </si>
  <si>
    <t xml:space="preserve">Aporte mensal </t>
  </si>
  <si>
    <t>% de aporte do Salário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</si>
</sst>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R$&quot;\ #,##0.00;[Red]\-&quot;R$&quot;\ #,##0.00"/>
    <numFmt numFmtId="164" formatCode="&quot;R$&quot;\ #,##0.00"/>
  </numFmts>
  <fonts count="20" x14ac:knownFonts="1">
    <font>
      <sz val="11"/>
      <color theme="1"/>
      <name val="Aptos Narrow"/>
      <family val="2"/>
      <scheme val="minor"/>
    </font>
    <font>
      <b/>
      <sz val="11"/>
      <color theme="1"/>
      <name val="Aptos Narrow"/>
      <family val="2"/>
      <scheme val="minor"/>
    </font>
    <font>
      <b/>
      <sz val="18"/>
      <color theme="1"/>
      <name val="Aptos Narrow"/>
      <family val="2"/>
      <scheme val="minor"/>
    </font>
    <font>
      <sz val="12"/>
      <color theme="1"/>
      <name val="Aptos Narrow"/>
      <family val="2"/>
      <scheme val="minor"/>
    </font>
    <font>
      <b/>
      <sz val="12"/>
      <color theme="1"/>
      <name val="Aptos Narrow"/>
      <family val="2"/>
      <scheme val="minor"/>
    </font>
    <font>
      <sz val="14"/>
      <color theme="1"/>
      <name val="Aptos Narrow"/>
      <family val="2"/>
      <scheme val="minor"/>
    </font>
    <font>
      <b/>
      <sz val="14"/>
      <color theme="1"/>
      <name val="Aptos Narrow"/>
      <family val="2"/>
      <scheme val="minor"/>
    </font>
    <font>
      <sz val="14"/>
      <color theme="6"/>
      <name val="Aptos Narrow"/>
      <family val="2"/>
      <scheme val="minor"/>
    </font>
    <font>
      <b/>
      <sz val="14"/>
      <color theme="6"/>
      <name val="Aptos Narrow"/>
      <family val="2"/>
      <scheme val="minor"/>
    </font>
    <font>
      <b/>
      <sz val="12.85"/>
      <color theme="6"/>
      <name val="Aptos Narrow"/>
      <family val="2"/>
      <scheme val="minor"/>
    </font>
    <font>
      <sz val="14"/>
      <color rgb="FF00B050"/>
      <name val="Aptos Narrow"/>
      <family val="2"/>
      <scheme val="minor"/>
    </font>
    <font>
      <b/>
      <sz val="22"/>
      <name val="Aptos Narrow"/>
      <family val="2"/>
      <scheme val="minor"/>
    </font>
    <font>
      <sz val="13.5"/>
      <color theme="1"/>
      <name val="Aptos Narrow"/>
      <family val="2"/>
      <scheme val="minor"/>
    </font>
    <font>
      <sz val="11"/>
      <color rgb="FF9C5700"/>
      <name val="Aptos Narrow"/>
      <family val="2"/>
      <scheme val="minor"/>
    </font>
    <font>
      <b/>
      <sz val="15"/>
      <color theme="0"/>
      <name val="Aptos Narrow"/>
      <family val="2"/>
      <scheme val="minor"/>
    </font>
    <font>
      <sz val="11"/>
      <color theme="1"/>
      <name val="Aptos Narrow"/>
      <family val="2"/>
      <scheme val="minor"/>
    </font>
    <font>
      <sz val="11"/>
      <color theme="0"/>
      <name val="Aptos Narrow"/>
      <family val="2"/>
      <scheme val="minor"/>
    </font>
    <font>
      <sz val="12"/>
      <name val="Segoe UI"/>
      <family val="2"/>
    </font>
    <font>
      <b/>
      <sz val="11"/>
      <name val="Aptos Narrow"/>
      <family val="2"/>
      <scheme val="minor"/>
    </font>
    <font>
      <b/>
      <sz val="11"/>
      <color theme="0"/>
      <name val="Aptos Narrow"/>
      <family val="2"/>
      <scheme val="minor"/>
    </font>
  </fonts>
  <fills count="8">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EB9C"/>
      </patternFill>
    </fill>
    <fill>
      <patternFill patternType="solid">
        <fgColor theme="0"/>
        <bgColor indexed="64"/>
      </patternFill>
    </fill>
    <fill>
      <patternFill patternType="solid">
        <fgColor theme="0" tint="-0.499984740745262"/>
        <bgColor indexed="64"/>
      </patternFill>
    </fill>
  </fills>
  <borders count="18">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theme="0" tint="-0.24994659260841701"/>
      </right>
      <top/>
      <bottom style="thin">
        <color theme="0" tint="-0.24994659260841701"/>
      </bottom>
      <diagonal/>
    </border>
    <border>
      <left style="thin">
        <color theme="0" tint="-0.24994659260841701"/>
      </left>
      <right style="medium">
        <color indexed="64"/>
      </right>
      <top/>
      <bottom style="thin">
        <color theme="0" tint="-0.24994659260841701"/>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indexed="64"/>
      </right>
      <top style="thin">
        <color theme="0" tint="-0.24994659260841701"/>
      </top>
      <bottom style="thin">
        <color theme="0" tint="-0.24994659260841701"/>
      </bottom>
      <diagonal/>
    </border>
    <border>
      <left style="medium">
        <color indexed="64"/>
      </left>
      <right style="thin">
        <color theme="0" tint="-0.24994659260841701"/>
      </right>
      <top style="thin">
        <color theme="0" tint="-0.24994659260841701"/>
      </top>
      <bottom style="medium">
        <color indexed="64"/>
      </bottom>
      <diagonal/>
    </border>
    <border>
      <left style="thin">
        <color theme="0" tint="-0.24994659260841701"/>
      </left>
      <right style="medium">
        <color indexed="64"/>
      </right>
      <top style="thin">
        <color theme="0" tint="-0.24994659260841701"/>
      </top>
      <bottom style="medium">
        <color indexed="64"/>
      </bottom>
      <diagonal/>
    </border>
    <border>
      <left/>
      <right/>
      <top style="medium">
        <color indexed="64"/>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medium">
        <color indexed="64"/>
      </bottom>
      <diagonal/>
    </border>
    <border>
      <left style="thin">
        <color theme="0" tint="-0.24994659260841701"/>
      </left>
      <right style="medium">
        <color indexed="64"/>
      </right>
      <top/>
      <bottom style="medium">
        <color indexed="64"/>
      </bottom>
      <diagonal/>
    </border>
    <border>
      <left style="thin">
        <color theme="0" tint="-0.24994659260841701"/>
      </left>
      <right style="thin">
        <color theme="0" tint="-0.24994659260841701"/>
      </right>
      <top/>
      <bottom style="medium">
        <color indexed="64"/>
      </bottom>
      <diagonal/>
    </border>
    <border>
      <left/>
      <right/>
      <top/>
      <bottom style="thick">
        <color indexed="64"/>
      </bottom>
      <diagonal/>
    </border>
    <border>
      <left style="medium">
        <color indexed="64"/>
      </left>
      <right/>
      <top/>
      <bottom style="thin">
        <color theme="0" tint="-0.24994659260841701"/>
      </bottom>
      <diagonal/>
    </border>
    <border>
      <left/>
      <right style="thin">
        <color theme="0" tint="-0.24994659260841701"/>
      </right>
      <top/>
      <bottom style="thin">
        <color theme="0" tint="-0.24994659260841701"/>
      </bottom>
      <diagonal/>
    </border>
  </borders>
  <cellStyleXfs count="3">
    <xf numFmtId="0" fontId="0" fillId="0" borderId="0"/>
    <xf numFmtId="0" fontId="13" fillId="5" borderId="0" applyNumberFormat="0" applyBorder="0" applyAlignment="0" applyProtection="0"/>
    <xf numFmtId="9" fontId="15" fillId="0" borderId="0" applyFont="0" applyFill="0" applyBorder="0" applyAlignment="0" applyProtection="0"/>
  </cellStyleXfs>
  <cellXfs count="71">
    <xf numFmtId="0" fontId="0" fillId="0" borderId="0" xfId="0"/>
    <xf numFmtId="0" fontId="2" fillId="0" borderId="0" xfId="0" applyFont="1" applyAlignment="1">
      <alignment vertical="center"/>
    </xf>
    <xf numFmtId="0" fontId="0" fillId="0" borderId="0" xfId="0" applyAlignment="1">
      <alignment horizontal="left" vertical="center" indent="1"/>
    </xf>
    <xf numFmtId="0" fontId="3" fillId="3" borderId="3" xfId="0" applyFont="1" applyFill="1" applyBorder="1" applyAlignment="1">
      <alignment horizontal="left" vertical="top" indent="2"/>
    </xf>
    <xf numFmtId="0" fontId="3" fillId="3" borderId="5" xfId="0" applyFont="1" applyFill="1" applyBorder="1" applyAlignment="1">
      <alignment horizontal="left" vertical="top" indent="2"/>
    </xf>
    <xf numFmtId="0" fontId="3" fillId="3" borderId="7" xfId="0" applyFont="1" applyFill="1" applyBorder="1" applyAlignment="1">
      <alignment horizontal="left" vertical="top" indent="2"/>
    </xf>
    <xf numFmtId="8" fontId="0" fillId="3" borderId="10" xfId="0" applyNumberFormat="1" applyFill="1" applyBorder="1" applyAlignment="1">
      <alignment horizontal="left" vertical="top" indent="2"/>
    </xf>
    <xf numFmtId="8" fontId="0" fillId="3" borderId="4" xfId="0" applyNumberFormat="1" applyFill="1" applyBorder="1" applyAlignment="1">
      <alignment horizontal="left" vertical="top" indent="2"/>
    </xf>
    <xf numFmtId="8" fontId="0" fillId="3" borderId="13" xfId="0" applyNumberFormat="1" applyFill="1" applyBorder="1" applyAlignment="1">
      <alignment horizontal="left" vertical="top" indent="2"/>
    </xf>
    <xf numFmtId="8" fontId="1" fillId="3" borderId="6" xfId="0" applyNumberFormat="1" applyFont="1" applyFill="1" applyBorder="1" applyAlignment="1">
      <alignment horizontal="left" vertical="top" indent="2"/>
    </xf>
    <xf numFmtId="8" fontId="1" fillId="3" borderId="8" xfId="0" applyNumberFormat="1" applyFont="1" applyFill="1" applyBorder="1" applyAlignment="1">
      <alignment horizontal="left" vertical="top" indent="2"/>
    </xf>
    <xf numFmtId="164" fontId="0" fillId="0" borderId="4" xfId="0" applyNumberFormat="1" applyBorder="1" applyAlignment="1">
      <alignment horizontal="left" vertical="top" indent="2"/>
    </xf>
    <xf numFmtId="10" fontId="0" fillId="0" borderId="6" xfId="0" applyNumberFormat="1" applyBorder="1" applyAlignment="1">
      <alignment horizontal="left" vertical="top" indent="2"/>
    </xf>
    <xf numFmtId="164" fontId="0" fillId="3" borderId="8" xfId="0" applyNumberFormat="1" applyFill="1" applyBorder="1" applyAlignment="1">
      <alignment horizontal="left" vertical="top" indent="2"/>
    </xf>
    <xf numFmtId="0" fontId="0" fillId="0" borderId="6" xfId="0" applyBorder="1" applyAlignment="1">
      <alignment horizontal="left" vertical="top" indent="2"/>
    </xf>
    <xf numFmtId="0" fontId="5" fillId="0" borderId="0" xfId="0" applyFont="1"/>
    <xf numFmtId="0" fontId="5" fillId="0" borderId="0" xfId="0" applyFont="1" applyAlignment="1">
      <alignment vertical="center" wrapText="1"/>
    </xf>
    <xf numFmtId="0" fontId="5" fillId="0" borderId="0" xfId="0" applyFont="1" applyAlignment="1">
      <alignment wrapText="1"/>
    </xf>
    <xf numFmtId="0" fontId="5" fillId="0" borderId="0" xfId="0" applyFont="1" applyAlignment="1">
      <alignment vertical="top" wrapText="1"/>
    </xf>
    <xf numFmtId="0" fontId="5" fillId="0" borderId="0" xfId="0" applyFont="1" applyAlignment="1">
      <alignment vertical="top"/>
    </xf>
    <xf numFmtId="0" fontId="11" fillId="0" borderId="0" xfId="0" applyFont="1" applyAlignment="1">
      <alignment horizontal="center" vertical="center"/>
    </xf>
    <xf numFmtId="0" fontId="6" fillId="0" borderId="0" xfId="0" applyFont="1" applyAlignment="1">
      <alignment wrapText="1"/>
    </xf>
    <xf numFmtId="0" fontId="6" fillId="0" borderId="0" xfId="0" applyFont="1" applyAlignment="1">
      <alignment vertical="center"/>
    </xf>
    <xf numFmtId="0" fontId="12" fillId="0" borderId="0" xfId="0" applyFont="1" applyAlignment="1">
      <alignment vertical="center" wrapText="1"/>
    </xf>
    <xf numFmtId="0" fontId="8" fillId="0" borderId="0" xfId="0" applyFont="1" applyAlignment="1">
      <alignment horizontal="left" vertical="top" wrapText="1"/>
    </xf>
    <xf numFmtId="0" fontId="9" fillId="0" borderId="0" xfId="0" applyFont="1" applyAlignment="1">
      <alignment horizontal="left" vertical="center"/>
    </xf>
    <xf numFmtId="0" fontId="8" fillId="0" borderId="0" xfId="0" applyFont="1" applyAlignment="1">
      <alignment horizontal="left" vertical="center"/>
    </xf>
    <xf numFmtId="0" fontId="13" fillId="5" borderId="0" xfId="1"/>
    <xf numFmtId="0" fontId="3" fillId="3" borderId="0" xfId="0" applyFont="1" applyFill="1" applyAlignment="1">
      <alignment horizontal="left" vertical="top"/>
    </xf>
    <xf numFmtId="0" fontId="1" fillId="3" borderId="0" xfId="0" applyFont="1" applyFill="1" applyAlignment="1">
      <alignment horizontal="center" vertical="center"/>
    </xf>
    <xf numFmtId="164" fontId="0" fillId="3" borderId="0" xfId="0" applyNumberFormat="1" applyFill="1" applyAlignment="1">
      <alignment horizontal="left" vertical="center"/>
    </xf>
    <xf numFmtId="0" fontId="16" fillId="6" borderId="0" xfId="0" applyFont="1" applyFill="1"/>
    <xf numFmtId="0" fontId="17" fillId="0" borderId="0" xfId="0" applyFont="1" applyAlignment="1">
      <alignment vertical="top" wrapText="1"/>
    </xf>
    <xf numFmtId="8" fontId="0" fillId="3" borderId="14" xfId="0" applyNumberFormat="1" applyFill="1" applyBorder="1" applyAlignment="1">
      <alignment horizontal="left" vertical="top" indent="2"/>
    </xf>
    <xf numFmtId="0" fontId="18" fillId="3" borderId="0" xfId="0" applyFont="1" applyFill="1" applyAlignment="1">
      <alignment horizontal="center" vertical="center"/>
    </xf>
    <xf numFmtId="0" fontId="0" fillId="0" borderId="0" xfId="0" applyAlignment="1">
      <alignment horizontal="center" vertical="center"/>
    </xf>
    <xf numFmtId="0" fontId="3" fillId="0" borderId="0" xfId="0" applyFont="1" applyAlignment="1">
      <alignment horizontal="center" vertical="center"/>
    </xf>
    <xf numFmtId="0" fontId="3" fillId="0" borderId="15" xfId="0" applyFont="1" applyBorder="1" applyAlignment="1">
      <alignment horizontal="center" vertical="center"/>
    </xf>
    <xf numFmtId="9" fontId="0" fillId="0" borderId="0" xfId="0" applyNumberFormat="1" applyAlignment="1">
      <alignment horizontal="center" vertical="center"/>
    </xf>
    <xf numFmtId="9" fontId="0" fillId="0" borderId="15" xfId="0" applyNumberFormat="1" applyBorder="1" applyAlignment="1">
      <alignment horizontal="center" vertical="center"/>
    </xf>
    <xf numFmtId="0" fontId="0" fillId="0" borderId="15" xfId="0" applyBorder="1" applyAlignment="1">
      <alignment horizontal="center" vertical="center"/>
    </xf>
    <xf numFmtId="9" fontId="13" fillId="5" borderId="0" xfId="2" applyFont="1" applyFill="1"/>
    <xf numFmtId="9" fontId="0" fillId="0" borderId="0" xfId="2" applyFont="1"/>
    <xf numFmtId="164" fontId="0" fillId="0" borderId="0" xfId="0" applyNumberFormat="1"/>
    <xf numFmtId="0" fontId="13" fillId="5" borderId="0" xfId="1" applyAlignment="1">
      <alignment vertical="top"/>
    </xf>
    <xf numFmtId="0" fontId="16" fillId="7" borderId="0" xfId="0" applyFont="1" applyFill="1" applyAlignment="1">
      <alignment horizontal="center" vertical="center"/>
    </xf>
    <xf numFmtId="0" fontId="19" fillId="7" borderId="0" xfId="0" applyFont="1" applyFill="1" applyAlignment="1">
      <alignment horizontal="center" vertical="center"/>
    </xf>
    <xf numFmtId="0" fontId="14" fillId="4" borderId="1" xfId="0" applyFont="1" applyFill="1" applyBorder="1" applyAlignment="1">
      <alignment horizontal="center" vertical="center"/>
    </xf>
    <xf numFmtId="0" fontId="14" fillId="4" borderId="9" xfId="0" applyFont="1" applyFill="1" applyBorder="1" applyAlignment="1">
      <alignment horizontal="center" vertical="center"/>
    </xf>
    <xf numFmtId="0" fontId="14" fillId="4" borderId="2" xfId="0" applyFont="1" applyFill="1" applyBorder="1" applyAlignment="1">
      <alignment horizontal="center" vertical="center"/>
    </xf>
    <xf numFmtId="0" fontId="14" fillId="2" borderId="2" xfId="0" applyFont="1" applyFill="1" applyBorder="1" applyAlignment="1">
      <alignment horizontal="left" vertical="center" indent="1"/>
    </xf>
    <xf numFmtId="0" fontId="14" fillId="2" borderId="9" xfId="0" applyFont="1" applyFill="1" applyBorder="1" applyAlignment="1">
      <alignment horizontal="left" vertical="center" indent="1"/>
    </xf>
    <xf numFmtId="0" fontId="14" fillId="2" borderId="1" xfId="0" applyFont="1" applyFill="1" applyBorder="1" applyAlignment="1">
      <alignment horizontal="left" vertical="center" indent="1"/>
    </xf>
    <xf numFmtId="0" fontId="4" fillId="3" borderId="5" xfId="0" applyFont="1" applyFill="1" applyBorder="1" applyAlignment="1">
      <alignment horizontal="left" vertical="center" indent="2"/>
    </xf>
    <xf numFmtId="0" fontId="4" fillId="3" borderId="11" xfId="0" applyFont="1" applyFill="1" applyBorder="1" applyAlignment="1">
      <alignment horizontal="left" vertical="center" indent="2"/>
    </xf>
    <xf numFmtId="0" fontId="4" fillId="3" borderId="7" xfId="0" applyFont="1" applyFill="1" applyBorder="1" applyAlignment="1">
      <alignment horizontal="left" vertical="center" indent="2"/>
    </xf>
    <xf numFmtId="0" fontId="4" fillId="3" borderId="12" xfId="0" applyFont="1" applyFill="1" applyBorder="1" applyAlignment="1">
      <alignment horizontal="left" vertical="center" indent="2"/>
    </xf>
    <xf numFmtId="0" fontId="13" fillId="5" borderId="0" xfId="1" applyAlignment="1">
      <alignment horizontal="left" vertical="top"/>
    </xf>
    <xf numFmtId="0" fontId="3" fillId="0" borderId="5" xfId="0" applyFont="1" applyBorder="1" applyAlignment="1">
      <alignment horizontal="left" vertical="center" indent="2"/>
    </xf>
    <xf numFmtId="0" fontId="3" fillId="0" borderId="11" xfId="0" applyFont="1" applyBorder="1" applyAlignment="1">
      <alignment horizontal="left" vertical="center" indent="2"/>
    </xf>
    <xf numFmtId="0" fontId="3" fillId="0" borderId="5" xfId="0" applyFont="1" applyBorder="1" applyAlignment="1">
      <alignment horizontal="left" indent="2"/>
    </xf>
    <xf numFmtId="0" fontId="3" fillId="0" borderId="11" xfId="0" applyFont="1" applyBorder="1" applyAlignment="1">
      <alignment horizontal="left" indent="2"/>
    </xf>
    <xf numFmtId="0" fontId="14" fillId="2" borderId="1" xfId="0" applyFont="1" applyFill="1" applyBorder="1" applyAlignment="1">
      <alignment horizontal="center" vertical="center"/>
    </xf>
    <xf numFmtId="0" fontId="14" fillId="2" borderId="9" xfId="0" applyFont="1" applyFill="1" applyBorder="1" applyAlignment="1">
      <alignment horizontal="center" vertical="center"/>
    </xf>
    <xf numFmtId="0" fontId="14" fillId="2" borderId="2" xfId="0" applyFont="1" applyFill="1" applyBorder="1" applyAlignment="1">
      <alignment horizontal="center" vertical="center"/>
    </xf>
    <xf numFmtId="0" fontId="13" fillId="5" borderId="0" xfId="1" applyAlignment="1">
      <alignment horizontal="center"/>
    </xf>
    <xf numFmtId="0" fontId="3" fillId="0" borderId="16" xfId="0" applyFont="1" applyBorder="1" applyAlignment="1">
      <alignment horizontal="left" vertical="center" indent="2"/>
    </xf>
    <xf numFmtId="0" fontId="3" fillId="0" borderId="17" xfId="0" applyFont="1" applyBorder="1" applyAlignment="1">
      <alignment horizontal="left" vertical="center" indent="2"/>
    </xf>
    <xf numFmtId="10" fontId="0" fillId="0" borderId="4" xfId="0" applyNumberFormat="1" applyBorder="1" applyAlignment="1">
      <alignment horizontal="left" vertical="top" indent="2"/>
    </xf>
    <xf numFmtId="0" fontId="17" fillId="3" borderId="0" xfId="0" applyFont="1" applyFill="1" applyAlignment="1">
      <alignment vertical="top" wrapText="1"/>
    </xf>
    <xf numFmtId="0" fontId="17" fillId="6" borderId="0" xfId="0" applyFont="1" applyFill="1" applyAlignment="1">
      <alignment vertical="top" wrapText="1"/>
    </xf>
  </cellXfs>
  <cellStyles count="3">
    <cellStyle name="Neutro" xfId="1" builtinId="28"/>
    <cellStyle name="Normal" xfId="0" builtinId="0"/>
    <cellStyle name="Porcentagem" xfId="2" builtinId="5"/>
  </cellStyles>
  <dxfs count="0"/>
  <tableStyles count="0" defaultTableStyle="TableStyleMedium2" defaultPivotStyle="PivotStyleLight16"/>
  <colors>
    <mruColors>
      <color rgb="FF304F52"/>
      <color rgb="FF355659"/>
      <color rgb="FF000000"/>
      <color rgb="FF426B6E"/>
      <color rgb="FF3C6774"/>
      <color rgb="FF436D68"/>
      <color rgb="FF476968"/>
      <color rgb="FF00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Calculadora!$C$33</c:f>
              <c:strCache>
                <c:ptCount val="1"/>
                <c:pt idx="0">
                  <c:v>PERCENTUAL SUGERIDO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F7E-447D-A4E2-B9784F315CF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F7E-447D-A4E2-B9784F315CF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F7E-447D-A4E2-B9784F315CF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F7E-447D-A4E2-B9784F315CF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F7E-447D-A4E2-B9784F315CF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F7E-447D-A4E2-B9784F315CF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Calculadora!$B$34:$B$39</c:f>
              <c:strCache>
                <c:ptCount val="6"/>
                <c:pt idx="0">
                  <c:v>PAPEL</c:v>
                </c:pt>
                <c:pt idx="1">
                  <c:v>TIJOLO</c:v>
                </c:pt>
                <c:pt idx="2">
                  <c:v>HÍBRIDOS</c:v>
                </c:pt>
                <c:pt idx="3">
                  <c:v>FOFs</c:v>
                </c:pt>
                <c:pt idx="4">
                  <c:v>DESENVOLVIMENTO</c:v>
                </c:pt>
                <c:pt idx="5">
                  <c:v>FIAGRO</c:v>
                </c:pt>
              </c:strCache>
            </c:strRef>
          </c:cat>
          <c:val>
            <c:numRef>
              <c:f>Calculadora!$C$34:$C$39</c:f>
              <c:numCache>
                <c:formatCode>0%</c:formatCode>
                <c:ptCount val="6"/>
                <c:pt idx="0">
                  <c:v>0.45</c:v>
                </c:pt>
                <c:pt idx="1">
                  <c:v>0.3</c:v>
                </c:pt>
                <c:pt idx="2">
                  <c:v>0.05</c:v>
                </c:pt>
                <c:pt idx="3">
                  <c:v>0.1</c:v>
                </c:pt>
                <c:pt idx="4">
                  <c:v>0.05</c:v>
                </c:pt>
                <c:pt idx="5">
                  <c:v>0.05</c:v>
                </c:pt>
              </c:numCache>
            </c:numRef>
          </c:val>
          <c:extLst>
            <c:ext xmlns:c16="http://schemas.microsoft.com/office/drawing/2014/chart" uri="{C3380CC4-5D6E-409C-BE32-E72D297353CC}">
              <c16:uniqueId val="{00000000-BFD9-4806-83D9-9BC68A65BBD6}"/>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accent6">
          <a:lumMod val="40000"/>
          <a:lumOff val="60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6"/>
            </a:solidFill>
            <a:ln>
              <a:noFill/>
            </a:ln>
            <a:effectLst/>
          </c:spPr>
          <c:invertIfNegative val="0"/>
          <c:cat>
            <c:strRef>
              <c:f>Calculadora!$B$24:$B$28</c:f>
              <c:strCache>
                <c:ptCount val="5"/>
                <c:pt idx="0">
                  <c:v> 2 Anos</c:v>
                </c:pt>
                <c:pt idx="1">
                  <c:v>5 Anos</c:v>
                </c:pt>
                <c:pt idx="2">
                  <c:v>10 Anos</c:v>
                </c:pt>
                <c:pt idx="3">
                  <c:v>20 Anos</c:v>
                </c:pt>
                <c:pt idx="4">
                  <c:v>30 Anos</c:v>
                </c:pt>
              </c:strCache>
            </c:strRef>
          </c:cat>
          <c:val>
            <c:numRef>
              <c:f>Calculadora!$C$24:$C$28</c:f>
              <c:numCache>
                <c:formatCode>"R$"#,##0.00_);[Red]\("R$"#,##0.00\)</c:formatCode>
                <c:ptCount val="5"/>
                <c:pt idx="0">
                  <c:v>13405.811935188693</c:v>
                </c:pt>
                <c:pt idx="1">
                  <c:v>40183.287512298622</c:v>
                </c:pt>
                <c:pt idx="2">
                  <c:v>111048.92026470735</c:v>
                </c:pt>
                <c:pt idx="3">
                  <c:v>456412.90352177073</c:v>
                </c:pt>
                <c:pt idx="4">
                  <c:v>1530490.9456029255</c:v>
                </c:pt>
              </c:numCache>
            </c:numRef>
          </c:val>
          <c:extLst>
            <c:ext xmlns:c16="http://schemas.microsoft.com/office/drawing/2014/chart" uri="{C3380CC4-5D6E-409C-BE32-E72D297353CC}">
              <c16:uniqueId val="{00000000-65FD-4296-BFD6-68EF664D8417}"/>
            </c:ext>
          </c:extLst>
        </c:ser>
        <c:dLbls>
          <c:showLegendKey val="0"/>
          <c:showVal val="0"/>
          <c:showCatName val="0"/>
          <c:showSerName val="0"/>
          <c:showPercent val="0"/>
          <c:showBubbleSize val="0"/>
        </c:dLbls>
        <c:gapWidth val="150"/>
        <c:axId val="45045343"/>
        <c:axId val="1496697071"/>
      </c:barChart>
      <c:lineChart>
        <c:grouping val="standard"/>
        <c:varyColors val="0"/>
        <c:ser>
          <c:idx val="1"/>
          <c:order val="1"/>
          <c:spPr>
            <a:ln w="28575" cap="rnd">
              <a:solidFill>
                <a:schemeClr val="accent5"/>
              </a:solidFill>
              <a:round/>
            </a:ln>
            <a:effectLst/>
          </c:spPr>
          <c:marker>
            <c:symbol val="none"/>
          </c:marker>
          <c:cat>
            <c:strRef>
              <c:f>Calculadora!$B$24:$B$28</c:f>
              <c:strCache>
                <c:ptCount val="5"/>
                <c:pt idx="0">
                  <c:v> 2 Anos</c:v>
                </c:pt>
                <c:pt idx="1">
                  <c:v>5 Anos</c:v>
                </c:pt>
                <c:pt idx="2">
                  <c:v>10 Anos</c:v>
                </c:pt>
                <c:pt idx="3">
                  <c:v>20 Anos</c:v>
                </c:pt>
                <c:pt idx="4">
                  <c:v>30 Anos</c:v>
                </c:pt>
              </c:strCache>
            </c:strRef>
          </c:cat>
          <c:val>
            <c:numRef>
              <c:f>Calculadora!$D$24:$D$28</c:f>
              <c:numCache>
                <c:formatCode>"R$"#,##0.00_);[Red]\("R$"#,##0.00\)</c:formatCode>
                <c:ptCount val="5"/>
                <c:pt idx="0">
                  <c:v>127.35521338429258</c:v>
                </c:pt>
                <c:pt idx="1">
                  <c:v>381.74123136683693</c:v>
                </c:pt>
                <c:pt idx="2">
                  <c:v>1054.9647425147198</c:v>
                </c:pt>
                <c:pt idx="3">
                  <c:v>4335.9225834568215</c:v>
                </c:pt>
                <c:pt idx="4">
                  <c:v>14539.663983227792</c:v>
                </c:pt>
              </c:numCache>
            </c:numRef>
          </c:val>
          <c:smooth val="0"/>
          <c:extLst>
            <c:ext xmlns:c16="http://schemas.microsoft.com/office/drawing/2014/chart" uri="{C3380CC4-5D6E-409C-BE32-E72D297353CC}">
              <c16:uniqueId val="{00000001-65FD-4296-BFD6-68EF664D8417}"/>
            </c:ext>
          </c:extLst>
        </c:ser>
        <c:dLbls>
          <c:showLegendKey val="0"/>
          <c:showVal val="0"/>
          <c:showCatName val="0"/>
          <c:showSerName val="0"/>
          <c:showPercent val="0"/>
          <c:showBubbleSize val="0"/>
        </c:dLbls>
        <c:marker val="1"/>
        <c:smooth val="0"/>
        <c:axId val="45047663"/>
        <c:axId val="1496694671"/>
      </c:lineChart>
      <c:catAx>
        <c:axId val="4504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96697071"/>
        <c:crosses val="autoZero"/>
        <c:auto val="1"/>
        <c:lblAlgn val="ctr"/>
        <c:lblOffset val="100"/>
        <c:noMultiLvlLbl val="0"/>
      </c:catAx>
      <c:valAx>
        <c:axId val="1496697071"/>
        <c:scaling>
          <c:orientation val="minMax"/>
        </c:scaling>
        <c:delete val="0"/>
        <c:axPos val="l"/>
        <c:numFmt formatCode="&quot;R$&quot;#,##0.00_);[Red]\(&quot;R$&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5045343"/>
        <c:crosses val="autoZero"/>
        <c:crossBetween val="between"/>
      </c:valAx>
      <c:valAx>
        <c:axId val="1496694671"/>
        <c:scaling>
          <c:orientation val="minMax"/>
        </c:scaling>
        <c:delete val="0"/>
        <c:axPos val="r"/>
        <c:numFmt formatCode="&quot;R$&quot;#,##0.00_);[Red]\(&quot;R$&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5047663"/>
        <c:crosses val="max"/>
        <c:crossBetween val="between"/>
      </c:valAx>
      <c:catAx>
        <c:axId val="45047663"/>
        <c:scaling>
          <c:orientation val="minMax"/>
        </c:scaling>
        <c:delete val="1"/>
        <c:axPos val="b"/>
        <c:numFmt formatCode="General" sourceLinked="1"/>
        <c:majorTickMark val="none"/>
        <c:minorTickMark val="none"/>
        <c:tickLblPos val="nextTo"/>
        <c:crossAx val="149669467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40000"/>
          <a:lumOff val="60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07/relationships/hdphoto" Target="../media/hdphoto1.wdp"/><Relationship Id="rId1" Type="http://schemas.openxmlformats.org/officeDocument/2006/relationships/image" Target="../media/image1.png"/><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381000</xdr:colOff>
      <xdr:row>1</xdr:row>
      <xdr:rowOff>0</xdr:rowOff>
    </xdr:from>
    <xdr:to>
      <xdr:col>4</xdr:col>
      <xdr:colOff>0</xdr:colOff>
      <xdr:row>7</xdr:row>
      <xdr:rowOff>129540</xdr:rowOff>
    </xdr:to>
    <xdr:sp macro="" textlink="">
      <xdr:nvSpPr>
        <xdr:cNvPr id="10" name="Retângulo: Cantos Arredondados 9">
          <a:extLst>
            <a:ext uri="{FF2B5EF4-FFF2-40B4-BE49-F238E27FC236}">
              <a16:creationId xmlns:a16="http://schemas.microsoft.com/office/drawing/2014/main" id="{D0712CBE-9B8C-46D7-A6C3-5CCDC9A5D19B}"/>
            </a:ext>
          </a:extLst>
        </xdr:cNvPr>
        <xdr:cNvSpPr/>
      </xdr:nvSpPr>
      <xdr:spPr>
        <a:xfrm>
          <a:off x="381000" y="182880"/>
          <a:ext cx="6316980" cy="1226820"/>
        </a:xfrm>
        <a:prstGeom prst="roundRect">
          <a:avLst/>
        </a:prstGeom>
        <a:solidFill>
          <a:srgbClr val="426B6E"/>
        </a:solidFill>
        <a:effectLst>
          <a:glow rad="63500">
            <a:schemeClr val="accent4">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pt-BR" sz="1100"/>
        </a:p>
      </xdr:txBody>
    </xdr:sp>
    <xdr:clientData/>
  </xdr:twoCellAnchor>
  <xdr:twoCellAnchor>
    <xdr:from>
      <xdr:col>1</xdr:col>
      <xdr:colOff>2636520</xdr:colOff>
      <xdr:row>2</xdr:row>
      <xdr:rowOff>22860</xdr:rowOff>
    </xdr:from>
    <xdr:to>
      <xdr:col>3</xdr:col>
      <xdr:colOff>541020</xdr:colOff>
      <xdr:row>6</xdr:row>
      <xdr:rowOff>76200</xdr:rowOff>
    </xdr:to>
    <xdr:sp macro="" textlink="">
      <xdr:nvSpPr>
        <xdr:cNvPr id="11" name="CaixaDeTexto 10">
          <a:extLst>
            <a:ext uri="{FF2B5EF4-FFF2-40B4-BE49-F238E27FC236}">
              <a16:creationId xmlns:a16="http://schemas.microsoft.com/office/drawing/2014/main" id="{7990CC0C-6B39-4A4C-8639-693AB455FB28}"/>
            </a:ext>
          </a:extLst>
        </xdr:cNvPr>
        <xdr:cNvSpPr txBox="1"/>
      </xdr:nvSpPr>
      <xdr:spPr>
        <a:xfrm>
          <a:off x="3246120" y="388620"/>
          <a:ext cx="2781300" cy="784860"/>
        </a:xfrm>
        <a:prstGeom prst="rect">
          <a:avLst/>
        </a:prstGeom>
        <a:solidFill>
          <a:srgbClr val="426B6E"/>
        </a:solidFill>
        <a:ln w="9525" cmpd="sng">
          <a:solidFill>
            <a:srgbClr val="47696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4000">
              <a:solidFill>
                <a:schemeClr val="bg1"/>
              </a:solidFill>
              <a:latin typeface="Berlin Sans FB Demi" panose="020E0802020502020306" pitchFamily="34" charset="0"/>
            </a:rPr>
            <a:t>FII POUPÊ</a:t>
          </a:r>
        </a:p>
      </xdr:txBody>
    </xdr:sp>
    <xdr:clientData/>
  </xdr:twoCellAnchor>
  <xdr:twoCellAnchor editAs="oneCell">
    <xdr:from>
      <xdr:col>1</xdr:col>
      <xdr:colOff>254152</xdr:colOff>
      <xdr:row>1</xdr:row>
      <xdr:rowOff>118117</xdr:rowOff>
    </xdr:from>
    <xdr:to>
      <xdr:col>1</xdr:col>
      <xdr:colOff>1981200</xdr:colOff>
      <xdr:row>6</xdr:row>
      <xdr:rowOff>182371</xdr:rowOff>
    </xdr:to>
    <xdr:pic>
      <xdr:nvPicPr>
        <xdr:cNvPr id="12" name="Imagem 11" descr="Ilustração de cofrinho">
          <a:extLst>
            <a:ext uri="{FF2B5EF4-FFF2-40B4-BE49-F238E27FC236}">
              <a16:creationId xmlns:a16="http://schemas.microsoft.com/office/drawing/2014/main" id="{F877AB1C-C71C-4782-880A-B611FFF93F2E}"/>
            </a:ext>
          </a:extLst>
        </xdr:cNvPr>
        <xdr:cNvPicPr>
          <a:picLocks noChangeAspect="1"/>
        </xdr:cNvPicPr>
      </xdr:nvPicPr>
      <xdr:blipFill>
        <a:blip xmlns:r="http://schemas.openxmlformats.org/officeDocument/2006/relationships" r:embed="rId1" cstate="print">
          <a:duotone>
            <a:prstClr val="black"/>
            <a:schemeClr val="accent6">
              <a:tint val="45000"/>
              <a:satMod val="400000"/>
            </a:schemeClr>
          </a:duotone>
          <a:extLst>
            <a:ext uri="{BEBA8EAE-BF5A-486C-A8C5-ECC9F3942E4B}">
              <a14:imgProps xmlns:a14="http://schemas.microsoft.com/office/drawing/2010/main">
                <a14:imgLayer r:embed="rId2">
                  <a14:imgEffect>
                    <a14:colorTemperature colorTemp="6400"/>
                  </a14:imgEffect>
                  <a14:imgEffect>
                    <a14:saturation sat="85000"/>
                  </a14:imgEffect>
                </a14:imgLayer>
              </a14:imgProps>
            </a:ext>
            <a:ext uri="{28A0092B-C50C-407E-A947-70E740481C1C}">
              <a14:useLocalDpi xmlns:a14="http://schemas.microsoft.com/office/drawing/2010/main" val="0"/>
            </a:ext>
          </a:extLst>
        </a:blip>
        <a:stretch>
          <a:fillRect/>
        </a:stretch>
      </xdr:blipFill>
      <xdr:spPr>
        <a:xfrm>
          <a:off x="619912" y="300997"/>
          <a:ext cx="1727048" cy="978654"/>
        </a:xfrm>
        <a:prstGeom prst="rect">
          <a:avLst/>
        </a:prstGeom>
        <a:solidFill>
          <a:schemeClr val="accent1"/>
        </a:solidFill>
      </xdr:spPr>
    </xdr:pic>
    <xdr:clientData/>
  </xdr:twoCellAnchor>
  <xdr:twoCellAnchor>
    <xdr:from>
      <xdr:col>1</xdr:col>
      <xdr:colOff>7620</xdr:colOff>
      <xdr:row>39</xdr:row>
      <xdr:rowOff>95250</xdr:rowOff>
    </xdr:from>
    <xdr:to>
      <xdr:col>2</xdr:col>
      <xdr:colOff>1298760</xdr:colOff>
      <xdr:row>59</xdr:row>
      <xdr:rowOff>1650</xdr:rowOff>
    </xdr:to>
    <xdr:graphicFrame macro="">
      <xdr:nvGraphicFramePr>
        <xdr:cNvPr id="2" name="Gráfico 1">
          <a:extLst>
            <a:ext uri="{FF2B5EF4-FFF2-40B4-BE49-F238E27FC236}">
              <a16:creationId xmlns:a16="http://schemas.microsoft.com/office/drawing/2014/main" id="{2449C256-BEA8-A0DC-2CA6-4B9AA316C3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167640</xdr:colOff>
      <xdr:row>29</xdr:row>
      <xdr:rowOff>30480</xdr:rowOff>
    </xdr:from>
    <xdr:to>
      <xdr:col>4</xdr:col>
      <xdr:colOff>388620</xdr:colOff>
      <xdr:row>29</xdr:row>
      <xdr:rowOff>167640</xdr:rowOff>
    </xdr:to>
    <xdr:sp macro="" textlink="">
      <xdr:nvSpPr>
        <xdr:cNvPr id="9" name="Seta: para a Esquerda 8">
          <a:extLst>
            <a:ext uri="{FF2B5EF4-FFF2-40B4-BE49-F238E27FC236}">
              <a16:creationId xmlns:a16="http://schemas.microsoft.com/office/drawing/2014/main" id="{94DAE3F1-B79B-97C7-DC4B-22DF17E13624}"/>
            </a:ext>
          </a:extLst>
        </xdr:cNvPr>
        <xdr:cNvSpPr/>
      </xdr:nvSpPr>
      <xdr:spPr>
        <a:xfrm>
          <a:off x="7223760" y="5996940"/>
          <a:ext cx="220980" cy="137160"/>
        </a:xfrm>
        <a:prstGeom prst="leftArrow">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2</xdr:col>
      <xdr:colOff>1333500</xdr:colOff>
      <xdr:row>39</xdr:row>
      <xdr:rowOff>99060</xdr:rowOff>
    </xdr:from>
    <xdr:to>
      <xdr:col>4</xdr:col>
      <xdr:colOff>125280</xdr:colOff>
      <xdr:row>59</xdr:row>
      <xdr:rowOff>5460</xdr:rowOff>
    </xdr:to>
    <xdr:graphicFrame macro="">
      <xdr:nvGraphicFramePr>
        <xdr:cNvPr id="7" name="Gráfico 6">
          <a:extLst>
            <a:ext uri="{FF2B5EF4-FFF2-40B4-BE49-F238E27FC236}">
              <a16:creationId xmlns:a16="http://schemas.microsoft.com/office/drawing/2014/main" id="{0C2F1938-0825-EB3B-BCB9-3D1C22FB0B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C0394-FEBF-4265-BAC6-4E8C35054993}">
  <dimension ref="A1:B92"/>
  <sheetViews>
    <sheetView showGridLines="0" zoomScale="80" zoomScaleNormal="80" workbookViewId="0">
      <selection activeCell="C1" sqref="C1:XFD1048576"/>
    </sheetView>
  </sheetViews>
  <sheetFormatPr defaultColWidth="0" defaultRowHeight="14.4" zeroHeight="1" x14ac:dyDescent="0.3"/>
  <cols>
    <col min="1" max="1" width="169" customWidth="1"/>
    <col min="2" max="2" width="8.88671875" customWidth="1"/>
    <col min="3" max="16384" width="8.88671875" hidden="1"/>
  </cols>
  <sheetData>
    <row r="1" spans="1:1" ht="28.8" x14ac:dyDescent="0.3">
      <c r="A1" s="20" t="s">
        <v>4</v>
      </c>
    </row>
    <row r="2" spans="1:1" x14ac:dyDescent="0.3"/>
    <row r="3" spans="1:1" ht="36" x14ac:dyDescent="0.3">
      <c r="A3" s="16" t="s">
        <v>5</v>
      </c>
    </row>
    <row r="4" spans="1:1" ht="18" x14ac:dyDescent="0.35">
      <c r="A4" s="17" t="s">
        <v>6</v>
      </c>
    </row>
    <row r="5" spans="1:1" ht="36" x14ac:dyDescent="0.35">
      <c r="A5" s="17" t="s">
        <v>8</v>
      </c>
    </row>
    <row r="6" spans="1:1" ht="18" x14ac:dyDescent="0.35">
      <c r="A6" s="17" t="s">
        <v>7</v>
      </c>
    </row>
    <row r="7" spans="1:1" x14ac:dyDescent="0.3"/>
    <row r="8" spans="1:1" ht="23.4" x14ac:dyDescent="0.3">
      <c r="A8" s="1" t="s">
        <v>9</v>
      </c>
    </row>
    <row r="9" spans="1:1" ht="18" x14ac:dyDescent="0.35">
      <c r="A9" s="17" t="s">
        <v>10</v>
      </c>
    </row>
    <row r="10" spans="1:1" x14ac:dyDescent="0.3"/>
    <row r="11" spans="1:1" ht="18" x14ac:dyDescent="0.3">
      <c r="A11" s="24" t="s">
        <v>11</v>
      </c>
    </row>
    <row r="12" spans="1:1" ht="18" x14ac:dyDescent="0.35">
      <c r="A12" s="17"/>
    </row>
    <row r="13" spans="1:1" ht="36" x14ac:dyDescent="0.3">
      <c r="A13" s="18" t="s">
        <v>12</v>
      </c>
    </row>
    <row r="14" spans="1:1" ht="36" x14ac:dyDescent="0.3">
      <c r="A14" s="18" t="s">
        <v>13</v>
      </c>
    </row>
    <row r="15" spans="1:1" ht="36" x14ac:dyDescent="0.3">
      <c r="A15" s="18" t="s">
        <v>14</v>
      </c>
    </row>
    <row r="16" spans="1:1" x14ac:dyDescent="0.3"/>
    <row r="17" spans="1:1" ht="16.8" x14ac:dyDescent="0.3">
      <c r="A17" s="25" t="s">
        <v>15</v>
      </c>
    </row>
    <row r="18" spans="1:1" x14ac:dyDescent="0.3"/>
    <row r="19" spans="1:1" ht="36" x14ac:dyDescent="0.3">
      <c r="A19" s="18" t="s">
        <v>18</v>
      </c>
    </row>
    <row r="20" spans="1:1" ht="36" x14ac:dyDescent="0.3">
      <c r="A20" s="18" t="s">
        <v>16</v>
      </c>
    </row>
    <row r="21" spans="1:1" ht="18" x14ac:dyDescent="0.3">
      <c r="A21" s="19" t="s">
        <v>17</v>
      </c>
    </row>
    <row r="22" spans="1:1" x14ac:dyDescent="0.3"/>
    <row r="23" spans="1:1" ht="18" x14ac:dyDescent="0.3">
      <c r="A23" s="26" t="s">
        <v>19</v>
      </c>
    </row>
    <row r="24" spans="1:1" ht="18" x14ac:dyDescent="0.35">
      <c r="A24" s="15"/>
    </row>
    <row r="25" spans="1:1" ht="36" x14ac:dyDescent="0.3">
      <c r="A25" s="18" t="s">
        <v>22</v>
      </c>
    </row>
    <row r="26" spans="1:1" ht="36" x14ac:dyDescent="0.3">
      <c r="A26" s="18" t="s">
        <v>23</v>
      </c>
    </row>
    <row r="27" spans="1:1" x14ac:dyDescent="0.3"/>
    <row r="28" spans="1:1" ht="18" x14ac:dyDescent="0.3">
      <c r="A28" s="26" t="s">
        <v>20</v>
      </c>
    </row>
    <row r="29" spans="1:1" x14ac:dyDescent="0.3"/>
    <row r="30" spans="1:1" ht="54" x14ac:dyDescent="0.3">
      <c r="A30" s="18" t="s">
        <v>21</v>
      </c>
    </row>
    <row r="31" spans="1:1" ht="36" x14ac:dyDescent="0.3">
      <c r="A31" s="18" t="s">
        <v>24</v>
      </c>
    </row>
    <row r="32" spans="1:1" x14ac:dyDescent="0.3"/>
    <row r="33" spans="1:1" ht="23.4" x14ac:dyDescent="0.3">
      <c r="A33" s="1" t="s">
        <v>25</v>
      </c>
    </row>
    <row r="34" spans="1:1" x14ac:dyDescent="0.3"/>
    <row r="35" spans="1:1" ht="36" x14ac:dyDescent="0.35">
      <c r="A35" s="17" t="s">
        <v>26</v>
      </c>
    </row>
    <row r="36" spans="1:1" ht="36" x14ac:dyDescent="0.35">
      <c r="A36" s="17" t="s">
        <v>27</v>
      </c>
    </row>
    <row r="37" spans="1:1" ht="18" x14ac:dyDescent="0.35">
      <c r="A37" s="17" t="s">
        <v>28</v>
      </c>
    </row>
    <row r="38" spans="1:1" x14ac:dyDescent="0.3"/>
    <row r="39" spans="1:1" ht="23.4" x14ac:dyDescent="0.3">
      <c r="A39" s="1" t="s">
        <v>29</v>
      </c>
    </row>
    <row r="40" spans="1:1" x14ac:dyDescent="0.3"/>
    <row r="41" spans="1:1" ht="18" x14ac:dyDescent="0.35">
      <c r="A41" s="15" t="s">
        <v>30</v>
      </c>
    </row>
    <row r="42" spans="1:1" ht="18" x14ac:dyDescent="0.35">
      <c r="A42" s="15" t="s">
        <v>31</v>
      </c>
    </row>
    <row r="43" spans="1:1" ht="18" x14ac:dyDescent="0.35">
      <c r="A43" s="15"/>
    </row>
    <row r="44" spans="1:1" ht="36" x14ac:dyDescent="0.35">
      <c r="A44" s="21" t="s">
        <v>32</v>
      </c>
    </row>
    <row r="45" spans="1:1" ht="36" x14ac:dyDescent="0.35">
      <c r="A45" s="21" t="s">
        <v>33</v>
      </c>
    </row>
    <row r="46" spans="1:1" ht="36" x14ac:dyDescent="0.35">
      <c r="A46" s="21" t="s">
        <v>34</v>
      </c>
    </row>
    <row r="47" spans="1:1" ht="54" x14ac:dyDescent="0.35">
      <c r="A47" s="17" t="s">
        <v>53</v>
      </c>
    </row>
    <row r="48" spans="1:1" ht="36" x14ac:dyDescent="0.35">
      <c r="A48" s="17" t="s">
        <v>52</v>
      </c>
    </row>
    <row r="49" spans="1:1" ht="18" x14ac:dyDescent="0.3">
      <c r="A49" s="22" t="s">
        <v>54</v>
      </c>
    </row>
    <row r="50" spans="1:1" ht="18" x14ac:dyDescent="0.35">
      <c r="A50" s="15" t="s">
        <v>55</v>
      </c>
    </row>
    <row r="51" spans="1:1" ht="36" x14ac:dyDescent="0.35">
      <c r="A51" s="17" t="s">
        <v>60</v>
      </c>
    </row>
    <row r="52" spans="1:1" ht="18" x14ac:dyDescent="0.35">
      <c r="A52" s="15" t="s">
        <v>56</v>
      </c>
    </row>
    <row r="53" spans="1:1" ht="18" x14ac:dyDescent="0.35">
      <c r="A53" s="15" t="s">
        <v>57</v>
      </c>
    </row>
    <row r="54" spans="1:1" ht="18" x14ac:dyDescent="0.35">
      <c r="A54" s="15" t="s">
        <v>58</v>
      </c>
    </row>
    <row r="55" spans="1:1" ht="18" x14ac:dyDescent="0.35">
      <c r="A55" s="15" t="s">
        <v>61</v>
      </c>
    </row>
    <row r="56" spans="1:1" ht="36" x14ac:dyDescent="0.35">
      <c r="A56" s="17" t="s">
        <v>59</v>
      </c>
    </row>
    <row r="57" spans="1:1" ht="18" x14ac:dyDescent="0.3">
      <c r="A57" s="22" t="s">
        <v>62</v>
      </c>
    </row>
    <row r="58" spans="1:1" ht="54" x14ac:dyDescent="0.3">
      <c r="A58" s="23" t="s">
        <v>63</v>
      </c>
    </row>
    <row r="59" spans="1:1" ht="36" x14ac:dyDescent="0.3">
      <c r="A59" s="23" t="s">
        <v>64</v>
      </c>
    </row>
    <row r="60" spans="1:1" ht="36" x14ac:dyDescent="0.3">
      <c r="A60" s="23" t="s">
        <v>65</v>
      </c>
    </row>
    <row r="61" spans="1:1" ht="54" x14ac:dyDescent="0.3">
      <c r="A61" s="23" t="s">
        <v>66</v>
      </c>
    </row>
    <row r="62" spans="1:1" x14ac:dyDescent="0.3"/>
    <row r="63" spans="1:1" ht="23.4" x14ac:dyDescent="0.3">
      <c r="A63" s="1" t="s">
        <v>25</v>
      </c>
    </row>
    <row r="64" spans="1:1" x14ac:dyDescent="0.3"/>
    <row r="65" spans="1:1" ht="36" x14ac:dyDescent="0.35">
      <c r="A65" s="17" t="s">
        <v>26</v>
      </c>
    </row>
    <row r="66" spans="1:1" ht="36" x14ac:dyDescent="0.35">
      <c r="A66" s="17" t="s">
        <v>27</v>
      </c>
    </row>
    <row r="67" spans="1:1" ht="18" x14ac:dyDescent="0.35">
      <c r="A67" s="15" t="s">
        <v>28</v>
      </c>
    </row>
    <row r="68" spans="1:1" x14ac:dyDescent="0.3"/>
    <row r="69" spans="1:1" ht="23.4" x14ac:dyDescent="0.3">
      <c r="A69" s="1" t="s">
        <v>35</v>
      </c>
    </row>
    <row r="70" spans="1:1" x14ac:dyDescent="0.3"/>
    <row r="71" spans="1:1" ht="18" x14ac:dyDescent="0.35">
      <c r="A71" s="15" t="s">
        <v>36</v>
      </c>
    </row>
    <row r="72" spans="1:1" ht="36" x14ac:dyDescent="0.35">
      <c r="A72" s="17" t="s">
        <v>37</v>
      </c>
    </row>
    <row r="73" spans="1:1" ht="36" x14ac:dyDescent="0.35">
      <c r="A73" s="17" t="s">
        <v>49</v>
      </c>
    </row>
    <row r="74" spans="1:1" ht="36" x14ac:dyDescent="0.35">
      <c r="A74" s="17" t="s">
        <v>38</v>
      </c>
    </row>
    <row r="75" spans="1:1" x14ac:dyDescent="0.3"/>
    <row r="76" spans="1:1" ht="18" x14ac:dyDescent="0.3">
      <c r="A76" s="22" t="s">
        <v>39</v>
      </c>
    </row>
    <row r="77" spans="1:1" ht="18" x14ac:dyDescent="0.35">
      <c r="A77" s="15"/>
    </row>
    <row r="78" spans="1:1" ht="36" x14ac:dyDescent="0.35">
      <c r="A78" s="17" t="s">
        <v>40</v>
      </c>
    </row>
    <row r="79" spans="1:1" ht="36" x14ac:dyDescent="0.35">
      <c r="A79" s="17" t="s">
        <v>41</v>
      </c>
    </row>
    <row r="80" spans="1:1" ht="18" x14ac:dyDescent="0.35">
      <c r="A80" s="15"/>
    </row>
    <row r="81" spans="1:1" ht="18" x14ac:dyDescent="0.3">
      <c r="A81" s="22" t="s">
        <v>42</v>
      </c>
    </row>
    <row r="82" spans="1:1" ht="18" x14ac:dyDescent="0.35">
      <c r="A82" s="15"/>
    </row>
    <row r="83" spans="1:1" ht="36" x14ac:dyDescent="0.35">
      <c r="A83" s="17" t="s">
        <v>43</v>
      </c>
    </row>
    <row r="84" spans="1:1" ht="18" x14ac:dyDescent="0.35">
      <c r="A84" s="15" t="s">
        <v>44</v>
      </c>
    </row>
    <row r="85" spans="1:1" ht="36" x14ac:dyDescent="0.35">
      <c r="A85" s="17" t="s">
        <v>45</v>
      </c>
    </row>
    <row r="86" spans="1:1" x14ac:dyDescent="0.3"/>
    <row r="87" spans="1:1" ht="18" x14ac:dyDescent="0.3">
      <c r="A87" s="22" t="s">
        <v>46</v>
      </c>
    </row>
    <row r="88" spans="1:1" ht="18" x14ac:dyDescent="0.35">
      <c r="A88" s="15"/>
    </row>
    <row r="89" spans="1:1" ht="36" x14ac:dyDescent="0.35">
      <c r="A89" s="17" t="s">
        <v>47</v>
      </c>
    </row>
    <row r="90" spans="1:1" ht="36" x14ac:dyDescent="0.35">
      <c r="A90" s="17" t="s">
        <v>50</v>
      </c>
    </row>
    <row r="91" spans="1:1" ht="18" x14ac:dyDescent="0.35">
      <c r="A91" s="15" t="s">
        <v>48</v>
      </c>
    </row>
    <row r="92" spans="1:1" x14ac:dyDescent="0.3"/>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79070-A323-43B9-8C5B-AD55B274B5DC}">
  <dimension ref="A1:G63"/>
  <sheetViews>
    <sheetView showGridLines="0" showRowColHeaders="0" tabSelected="1" zoomScale="90" zoomScaleNormal="90" workbookViewId="0">
      <selection activeCell="F19" sqref="F19"/>
      <extLst>
        <ext xmlns:xlsdti="http://schemas.microsoft.com/office/spreadsheetml/2023/showDataTypeIcons" uri="{77bfe23e-c014-4d31-8a63-9c772dbf06b6}">
          <xlsdti:showDataTypeIcons visible="0"/>
        </ext>
      </extLst>
    </sheetView>
  </sheetViews>
  <sheetFormatPr defaultColWidth="0" defaultRowHeight="14.4" zeroHeight="1" x14ac:dyDescent="0.3"/>
  <cols>
    <col min="1" max="1" width="5.33203125" customWidth="1"/>
    <col min="2" max="2" width="33.6640625" customWidth="1"/>
    <col min="3" max="3" width="38.21875" customWidth="1"/>
    <col min="4" max="4" width="31.88671875" customWidth="1"/>
    <col min="5" max="5" width="5.88671875" customWidth="1"/>
    <col min="6" max="6" width="21.77734375" customWidth="1"/>
    <col min="7" max="7" width="5" customWidth="1"/>
    <col min="8" max="8" width="8.88671875" hidden="1" customWidth="1"/>
    <col min="9" max="16384" width="8.88671875" hidden="1"/>
  </cols>
  <sheetData>
    <row r="1" spans="2:4" x14ac:dyDescent="0.3"/>
    <row r="2" spans="2:4" x14ac:dyDescent="0.3"/>
    <row r="3" spans="2:4" x14ac:dyDescent="0.3"/>
    <row r="4" spans="2:4" x14ac:dyDescent="0.3"/>
    <row r="5" spans="2:4" x14ac:dyDescent="0.3"/>
    <row r="6" spans="2:4" x14ac:dyDescent="0.3"/>
    <row r="7" spans="2:4" x14ac:dyDescent="0.3"/>
    <row r="8" spans="2:4" ht="25.2" customHeight="1" thickBot="1" x14ac:dyDescent="0.35"/>
    <row r="9" spans="2:4" ht="15.6" customHeight="1" x14ac:dyDescent="0.3">
      <c r="B9" s="47" t="s">
        <v>1</v>
      </c>
      <c r="C9" s="48"/>
      <c r="D9" s="49"/>
    </row>
    <row r="10" spans="2:4" ht="15.6" x14ac:dyDescent="0.3">
      <c r="B10" s="66" t="s">
        <v>0</v>
      </c>
      <c r="C10" s="67"/>
      <c r="D10" s="11">
        <v>5000</v>
      </c>
    </row>
    <row r="11" spans="2:4" ht="15.6" x14ac:dyDescent="0.3">
      <c r="B11" s="66" t="s">
        <v>105</v>
      </c>
      <c r="C11" s="67"/>
      <c r="D11" s="68">
        <v>0.1</v>
      </c>
    </row>
    <row r="12" spans="2:4" ht="16.2" thickBot="1" x14ac:dyDescent="0.35">
      <c r="B12" s="55" t="s">
        <v>104</v>
      </c>
      <c r="C12" s="56"/>
      <c r="D12" s="13">
        <f>D10*D11</f>
        <v>500</v>
      </c>
    </row>
    <row r="13" spans="2:4" ht="15" thickBot="1" x14ac:dyDescent="0.35"/>
    <row r="14" spans="2:4" ht="19.8" x14ac:dyDescent="0.3">
      <c r="B14" s="62" t="s">
        <v>92</v>
      </c>
      <c r="C14" s="63"/>
      <c r="D14" s="64"/>
    </row>
    <row r="15" spans="2:4" ht="15.6" x14ac:dyDescent="0.3">
      <c r="B15" s="58" t="s">
        <v>75</v>
      </c>
      <c r="C15" s="59"/>
      <c r="D15" s="14">
        <v>10</v>
      </c>
    </row>
    <row r="16" spans="2:4" ht="15.6" x14ac:dyDescent="0.3">
      <c r="B16" s="58" t="s">
        <v>74</v>
      </c>
      <c r="C16" s="59"/>
      <c r="D16" s="12">
        <v>7.4999999999999997E-3</v>
      </c>
    </row>
    <row r="17" spans="1:6" ht="15.6" x14ac:dyDescent="0.3">
      <c r="B17" s="60" t="s">
        <v>51</v>
      </c>
      <c r="C17" s="61"/>
      <c r="D17" s="12">
        <v>2E-3</v>
      </c>
    </row>
    <row r="18" spans="1:6" ht="15.6" x14ac:dyDescent="0.3">
      <c r="B18" s="53" t="s">
        <v>71</v>
      </c>
      <c r="C18" s="54"/>
      <c r="D18" s="9">
        <f>aporte_mensal*tempo_de_aportes*12</f>
        <v>60000</v>
      </c>
    </row>
    <row r="19" spans="1:6" ht="15.6" x14ac:dyDescent="0.3">
      <c r="B19" s="53" t="s">
        <v>72</v>
      </c>
      <c r="C19" s="54"/>
      <c r="D19" s="9">
        <f>FV((dy_mensal+rendimento_carteira),tempo_de_aportes*12,aporte_mensal*-1)-(aporte_mensal*tempo_de_aportes*12)</f>
        <v>51052.030253282166</v>
      </c>
    </row>
    <row r="20" spans="1:6" ht="15.6" x14ac:dyDescent="0.3">
      <c r="B20" s="53" t="s">
        <v>73</v>
      </c>
      <c r="C20" s="54"/>
      <c r="D20" s="9">
        <f>total_aporte + ganho_acumulado</f>
        <v>111052.03025328217</v>
      </c>
    </row>
    <row r="21" spans="1:6" ht="16.2" thickBot="1" x14ac:dyDescent="0.35">
      <c r="B21" s="55" t="s">
        <v>76</v>
      </c>
      <c r="C21" s="56"/>
      <c r="D21" s="10">
        <f>patrimonio_acumulado*(dy_mensal+rendimento_carteira)</f>
        <v>1054.9942874061805</v>
      </c>
    </row>
    <row r="22" spans="1:6" ht="15" thickBot="1" x14ac:dyDescent="0.35">
      <c r="B22" s="2"/>
    </row>
    <row r="23" spans="1:6" ht="19.8" x14ac:dyDescent="0.3">
      <c r="B23" s="52" t="s">
        <v>98</v>
      </c>
      <c r="C23" s="51" t="s">
        <v>2</v>
      </c>
      <c r="D23" s="50" t="s">
        <v>3</v>
      </c>
    </row>
    <row r="24" spans="1:6" ht="15.6" x14ac:dyDescent="0.3">
      <c r="A24" s="31">
        <v>2</v>
      </c>
      <c r="B24" s="3" t="s">
        <v>93</v>
      </c>
      <c r="C24" s="6">
        <f>FV(($D$16+$D$17),$A24*12,aporte_mensal*-1,1)</f>
        <v>13405.811935188693</v>
      </c>
      <c r="D24" s="7">
        <f>C24*($D$17+$D$16)</f>
        <v>127.35521338429258</v>
      </c>
    </row>
    <row r="25" spans="1:6" ht="15.6" x14ac:dyDescent="0.3">
      <c r="A25" s="31">
        <v>5</v>
      </c>
      <c r="B25" s="4" t="s">
        <v>94</v>
      </c>
      <c r="C25" s="6">
        <f>FV(($D$16+$D$17),$A25*12,aporte_mensal*-1,1)</f>
        <v>40183.287512298622</v>
      </c>
      <c r="D25" s="7">
        <f>C25*($D$17+$D$16)</f>
        <v>381.74123136683693</v>
      </c>
    </row>
    <row r="26" spans="1:6" ht="15.6" x14ac:dyDescent="0.3">
      <c r="A26" s="31">
        <v>10</v>
      </c>
      <c r="B26" s="4" t="s">
        <v>95</v>
      </c>
      <c r="C26" s="6">
        <f>FV(($D$16+$D$17),$A26*12,aporte_mensal*-1,1)</f>
        <v>111048.92026470735</v>
      </c>
      <c r="D26" s="7">
        <f>C26*($D$17+$D$16)</f>
        <v>1054.9647425147198</v>
      </c>
    </row>
    <row r="27" spans="1:6" ht="15.6" x14ac:dyDescent="0.3">
      <c r="A27" s="31">
        <v>20</v>
      </c>
      <c r="B27" s="4" t="s">
        <v>96</v>
      </c>
      <c r="C27" s="6">
        <f>FV(($D$16+$D$17),$A27*12,aporte_mensal*-1,1)</f>
        <v>456412.90352177073</v>
      </c>
      <c r="D27" s="7">
        <f>C27*($D$17+$D$16)</f>
        <v>4335.9225834568215</v>
      </c>
    </row>
    <row r="28" spans="1:6" ht="16.2" thickBot="1" x14ac:dyDescent="0.35">
      <c r="A28" s="31">
        <v>30</v>
      </c>
      <c r="B28" s="5" t="s">
        <v>97</v>
      </c>
      <c r="C28" s="33">
        <f>FV(($D$16+$D$17),$A28*12,aporte_mensal*-1,1)</f>
        <v>1530490.9456029255</v>
      </c>
      <c r="D28" s="8">
        <f>C28*($D$17+$D$16)</f>
        <v>14539.663983227792</v>
      </c>
    </row>
    <row r="29" spans="1:6" x14ac:dyDescent="0.3"/>
    <row r="30" spans="1:6" x14ac:dyDescent="0.3">
      <c r="B30" s="57" t="s">
        <v>67</v>
      </c>
      <c r="C30" s="57"/>
      <c r="D30" s="27" t="s">
        <v>86</v>
      </c>
      <c r="F30" s="44" t="s">
        <v>101</v>
      </c>
    </row>
    <row r="31" spans="1:6" ht="15.6" x14ac:dyDescent="0.3">
      <c r="B31" s="28" t="s">
        <v>68</v>
      </c>
      <c r="C31" s="29"/>
      <c r="D31" s="30">
        <f>aporte_mensal</f>
        <v>500</v>
      </c>
    </row>
    <row r="32" spans="1:6" x14ac:dyDescent="0.3"/>
    <row r="33" spans="2:4" x14ac:dyDescent="0.3">
      <c r="B33" s="34" t="s">
        <v>77</v>
      </c>
      <c r="C33" s="34" t="s">
        <v>78</v>
      </c>
      <c r="D33" s="34" t="s">
        <v>79</v>
      </c>
    </row>
    <row r="34" spans="2:4" ht="15.6" x14ac:dyDescent="0.3">
      <c r="B34" s="36" t="s">
        <v>80</v>
      </c>
      <c r="C34" s="42">
        <f>VLOOKUP($D$30&amp;"-"&amp;B34,PROCV!$A:$D,4,FALSE)</f>
        <v>0.45</v>
      </c>
      <c r="D34" s="43">
        <f>D31*$C$34</f>
        <v>225</v>
      </c>
    </row>
    <row r="35" spans="2:4" ht="15.6" x14ac:dyDescent="0.3">
      <c r="B35" s="36" t="s">
        <v>81</v>
      </c>
      <c r="C35" s="42">
        <f>VLOOKUP($D$30&amp;"-"&amp;B35,PROCV!$A:$D,4,FALSE)</f>
        <v>0.3</v>
      </c>
      <c r="D35" s="43">
        <f t="shared" ref="D35:D39" si="0">C35*$D$31</f>
        <v>150</v>
      </c>
    </row>
    <row r="36" spans="2:4" ht="15.6" x14ac:dyDescent="0.3">
      <c r="B36" s="36" t="s">
        <v>82</v>
      </c>
      <c r="C36" s="42">
        <f>VLOOKUP($D$30&amp;"-"&amp;B36,PROCV!$A:$D,4,FALSE)</f>
        <v>0.05</v>
      </c>
      <c r="D36" s="43">
        <f t="shared" si="0"/>
        <v>25</v>
      </c>
    </row>
    <row r="37" spans="2:4" ht="15.6" x14ac:dyDescent="0.3">
      <c r="B37" s="36" t="s">
        <v>83</v>
      </c>
      <c r="C37" s="42">
        <f>VLOOKUP($D$30&amp;"-"&amp;B37,PROCV!$A:$D,4,FALSE)</f>
        <v>0.1</v>
      </c>
      <c r="D37" s="43">
        <f t="shared" si="0"/>
        <v>50</v>
      </c>
    </row>
    <row r="38" spans="2:4" ht="15.6" x14ac:dyDescent="0.3">
      <c r="B38" s="36" t="s">
        <v>84</v>
      </c>
      <c r="C38" s="42">
        <f>VLOOKUP($D$30&amp;"-"&amp;B38,PROCV!$A:$D,4,FALSE)</f>
        <v>0.05</v>
      </c>
      <c r="D38" s="43">
        <f t="shared" si="0"/>
        <v>25</v>
      </c>
    </row>
    <row r="39" spans="2:4" ht="15.6" x14ac:dyDescent="0.3">
      <c r="B39" s="36" t="s">
        <v>85</v>
      </c>
      <c r="C39" s="42">
        <f>VLOOKUP($D$30&amp;"-"&amp;B39,PROCV!$A:$D,4,FALSE)</f>
        <v>0.05</v>
      </c>
      <c r="D39" s="43">
        <f t="shared" si="0"/>
        <v>25</v>
      </c>
    </row>
    <row r="40" spans="2:4" x14ac:dyDescent="0.3"/>
    <row r="41" spans="2:4" x14ac:dyDescent="0.3"/>
    <row r="42" spans="2:4" x14ac:dyDescent="0.3"/>
    <row r="43" spans="2:4" x14ac:dyDescent="0.3"/>
    <row r="44" spans="2:4" x14ac:dyDescent="0.3"/>
    <row r="45" spans="2:4" x14ac:dyDescent="0.3"/>
    <row r="46" spans="2:4" x14ac:dyDescent="0.3"/>
    <row r="47" spans="2:4" x14ac:dyDescent="0.3"/>
    <row r="48" spans="2:4"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sheetData>
  <mergeCells count="12">
    <mergeCell ref="B10:C10"/>
    <mergeCell ref="B11:C11"/>
    <mergeCell ref="B17:C17"/>
    <mergeCell ref="B12:C12"/>
    <mergeCell ref="B14:D14"/>
    <mergeCell ref="B20:C20"/>
    <mergeCell ref="B21:C21"/>
    <mergeCell ref="B30:C30"/>
    <mergeCell ref="B18:C18"/>
    <mergeCell ref="B19:C19"/>
    <mergeCell ref="B15:C15"/>
    <mergeCell ref="B16:C16"/>
  </mergeCells>
  <dataValidations count="1">
    <dataValidation type="list" allowBlank="1" showInputMessage="1" showErrorMessage="1" sqref="D30" xr:uid="{90DCF305-05AA-4FD1-8E5C-7FED9B0B7937}">
      <formula1>"Conservador,Moderado,Agressivo"</formula1>
    </dataValidation>
  </dataValidations>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92A00-8C09-44DF-8529-30B0AD995524}">
  <dimension ref="A1:AB23"/>
  <sheetViews>
    <sheetView workbookViewId="0">
      <selection activeCell="A4" sqref="A4"/>
    </sheetView>
  </sheetViews>
  <sheetFormatPr defaultColWidth="0" defaultRowHeight="14.4" zeroHeight="1" x14ac:dyDescent="0.3"/>
  <cols>
    <col min="1" max="1" width="115.21875" customWidth="1"/>
    <col min="2" max="28" width="0" hidden="1" customWidth="1"/>
    <col min="29" max="16384" width="8.88671875" hidden="1"/>
  </cols>
  <sheetData>
    <row r="1" spans="1:28" ht="36" customHeight="1" x14ac:dyDescent="0.3">
      <c r="A1" s="69" t="s">
        <v>70</v>
      </c>
      <c r="B1" s="32"/>
      <c r="C1" s="32"/>
      <c r="D1" s="32"/>
      <c r="E1" s="32"/>
      <c r="F1" s="32"/>
      <c r="G1" s="32"/>
      <c r="H1" s="32"/>
      <c r="I1" s="32"/>
      <c r="J1" s="32"/>
      <c r="K1" s="32"/>
      <c r="L1" s="32"/>
      <c r="M1" s="32"/>
      <c r="N1" s="32"/>
      <c r="O1" s="32"/>
      <c r="P1" s="32"/>
      <c r="Q1" s="32"/>
      <c r="R1" s="32"/>
      <c r="S1" s="32"/>
      <c r="T1" s="32"/>
      <c r="U1" s="32"/>
      <c r="V1" s="32"/>
      <c r="W1" s="32"/>
      <c r="X1" s="32"/>
      <c r="Y1" s="32"/>
      <c r="Z1" s="32"/>
      <c r="AA1" s="32"/>
      <c r="AB1" s="32"/>
    </row>
    <row r="2" spans="1:28" ht="38.4" x14ac:dyDescent="0.3">
      <c r="A2" s="70" t="s">
        <v>69</v>
      </c>
    </row>
    <row r="3" spans="1:28" ht="38.4" x14ac:dyDescent="0.3">
      <c r="A3" s="69" t="s">
        <v>99</v>
      </c>
    </row>
    <row r="4" spans="1:28" ht="172.8" x14ac:dyDescent="0.3">
      <c r="A4" s="70" t="s">
        <v>100</v>
      </c>
    </row>
    <row r="5" spans="1:28" ht="19.2" x14ac:dyDescent="0.3">
      <c r="A5" s="69" t="s">
        <v>102</v>
      </c>
    </row>
    <row r="6" spans="1:28" ht="134.4" x14ac:dyDescent="0.3">
      <c r="A6" s="70" t="s">
        <v>103</v>
      </c>
    </row>
    <row r="7" spans="1:28" ht="19.2" x14ac:dyDescent="0.3">
      <c r="A7" s="70"/>
    </row>
    <row r="17" customFormat="1" hidden="1" x14ac:dyDescent="0.3"/>
    <row r="18" customFormat="1" hidden="1" x14ac:dyDescent="0.3"/>
    <row r="19" customFormat="1" hidden="1" x14ac:dyDescent="0.3"/>
    <row r="20" customFormat="1" hidden="1" x14ac:dyDescent="0.3"/>
    <row r="21" customFormat="1" hidden="1" x14ac:dyDescent="0.3"/>
    <row r="22" customFormat="1" hidden="1" x14ac:dyDescent="0.3"/>
    <row r="23" customFormat="1" hidden="1" x14ac:dyDescent="0.3"/>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0FD22-2BA7-4DBF-92CA-E14ABBAE9BD5}">
  <dimension ref="A1:H22"/>
  <sheetViews>
    <sheetView workbookViewId="0">
      <selection activeCell="A22" sqref="A22:XFD1048576"/>
    </sheetView>
  </sheetViews>
  <sheetFormatPr defaultColWidth="0" defaultRowHeight="14.4" zeroHeight="1" x14ac:dyDescent="0.3"/>
  <cols>
    <col min="1" max="1" width="28.77734375" style="35" bestFit="1" customWidth="1"/>
    <col min="2" max="2" width="14.21875" style="35" customWidth="1"/>
    <col min="3" max="3" width="21.21875" customWidth="1"/>
    <col min="4" max="4" width="12.21875" style="35" bestFit="1" customWidth="1"/>
    <col min="5" max="8" width="8.88671875" customWidth="1"/>
    <col min="9" max="16384" width="8.88671875" hidden="1"/>
  </cols>
  <sheetData>
    <row r="1" spans="1:8" x14ac:dyDescent="0.3"/>
    <row r="2" spans="1:8" x14ac:dyDescent="0.3">
      <c r="A2" s="45" t="s">
        <v>89</v>
      </c>
      <c r="B2" s="45" t="s">
        <v>67</v>
      </c>
      <c r="C2" s="46" t="s">
        <v>77</v>
      </c>
      <c r="D2" s="45" t="s">
        <v>90</v>
      </c>
    </row>
    <row r="3" spans="1:8" ht="15.6" x14ac:dyDescent="0.3">
      <c r="A3" s="35" t="str">
        <f>B3&amp;"-"&amp;C3</f>
        <v>Conservador-PAPEL</v>
      </c>
      <c r="B3" s="35" t="s">
        <v>86</v>
      </c>
      <c r="C3" s="36" t="s">
        <v>80</v>
      </c>
      <c r="D3" s="38">
        <v>0.45</v>
      </c>
    </row>
    <row r="4" spans="1:8" ht="15.6" x14ac:dyDescent="0.3">
      <c r="A4" s="35" t="str">
        <f t="shared" ref="A4:A20" si="0">B4&amp;"-"&amp;C4</f>
        <v>Conservador-TIJOLO</v>
      </c>
      <c r="B4" s="35" t="s">
        <v>86</v>
      </c>
      <c r="C4" s="36" t="s">
        <v>81</v>
      </c>
      <c r="D4" s="38">
        <v>0.3</v>
      </c>
    </row>
    <row r="5" spans="1:8" ht="15.6" x14ac:dyDescent="0.3">
      <c r="A5" s="35" t="str">
        <f t="shared" si="0"/>
        <v>Conservador-HÍBRIDOS</v>
      </c>
      <c r="B5" s="35" t="s">
        <v>86</v>
      </c>
      <c r="C5" s="36" t="s">
        <v>82</v>
      </c>
      <c r="D5" s="38">
        <v>0.05</v>
      </c>
      <c r="H5" t="s">
        <v>90</v>
      </c>
    </row>
    <row r="6" spans="1:8" ht="15.6" x14ac:dyDescent="0.3">
      <c r="A6" s="35" t="str">
        <f t="shared" si="0"/>
        <v>Conservador-FOFs</v>
      </c>
      <c r="B6" s="35" t="s">
        <v>86</v>
      </c>
      <c r="C6" s="36" t="s">
        <v>83</v>
      </c>
      <c r="D6" s="38">
        <v>0.1</v>
      </c>
      <c r="F6" s="65" t="s">
        <v>91</v>
      </c>
      <c r="G6" s="65"/>
      <c r="H6" s="41">
        <f>VLOOKUP(F6,$A1:$D20,4,FALSE)</f>
        <v>0.3</v>
      </c>
    </row>
    <row r="7" spans="1:8" ht="15.6" x14ac:dyDescent="0.3">
      <c r="A7" s="35" t="str">
        <f t="shared" si="0"/>
        <v>Conservador-DESENVOLVIMENTO</v>
      </c>
      <c r="B7" s="35" t="s">
        <v>86</v>
      </c>
      <c r="C7" s="36" t="s">
        <v>84</v>
      </c>
      <c r="D7" s="38">
        <v>0.05</v>
      </c>
    </row>
    <row r="8" spans="1:8" ht="16.2" thickBot="1" x14ac:dyDescent="0.35">
      <c r="A8" s="40" t="str">
        <f t="shared" si="0"/>
        <v>Conservador-FIAGRO</v>
      </c>
      <c r="B8" s="40" t="s">
        <v>86</v>
      </c>
      <c r="C8" s="37" t="s">
        <v>85</v>
      </c>
      <c r="D8" s="39">
        <v>0.05</v>
      </c>
    </row>
    <row r="9" spans="1:8" ht="16.2" thickTop="1" x14ac:dyDescent="0.3">
      <c r="A9" s="35" t="str">
        <f t="shared" si="0"/>
        <v>Moderado-PAPEL</v>
      </c>
      <c r="B9" s="35" t="s">
        <v>87</v>
      </c>
      <c r="C9" s="36" t="s">
        <v>80</v>
      </c>
      <c r="D9" s="38">
        <v>0.3</v>
      </c>
    </row>
    <row r="10" spans="1:8" ht="15.6" x14ac:dyDescent="0.3">
      <c r="A10" s="35" t="str">
        <f t="shared" si="0"/>
        <v>Moderado-TIJOLO</v>
      </c>
      <c r="B10" s="35" t="s">
        <v>87</v>
      </c>
      <c r="C10" s="36" t="s">
        <v>81</v>
      </c>
      <c r="D10" s="38">
        <v>0.3</v>
      </c>
    </row>
    <row r="11" spans="1:8" ht="15.6" x14ac:dyDescent="0.3">
      <c r="A11" s="35" t="str">
        <f t="shared" si="0"/>
        <v>Moderado-HÍBRIDOS</v>
      </c>
      <c r="B11" s="35" t="s">
        <v>87</v>
      </c>
      <c r="C11" s="36" t="s">
        <v>82</v>
      </c>
      <c r="D11" s="38">
        <v>0.1</v>
      </c>
    </row>
    <row r="12" spans="1:8" ht="15.6" x14ac:dyDescent="0.3">
      <c r="A12" s="35" t="str">
        <f t="shared" si="0"/>
        <v>Moderado-FOFs</v>
      </c>
      <c r="B12" s="35" t="s">
        <v>87</v>
      </c>
      <c r="C12" s="36" t="s">
        <v>83</v>
      </c>
      <c r="D12" s="38">
        <v>0.1</v>
      </c>
    </row>
    <row r="13" spans="1:8" ht="15.6" x14ac:dyDescent="0.3">
      <c r="A13" s="35" t="str">
        <f t="shared" si="0"/>
        <v>Moderado-DESENVOLVIMENTO</v>
      </c>
      <c r="B13" s="35" t="s">
        <v>87</v>
      </c>
      <c r="C13" s="36" t="s">
        <v>84</v>
      </c>
      <c r="D13" s="38">
        <v>0.1</v>
      </c>
    </row>
    <row r="14" spans="1:8" ht="16.2" thickBot="1" x14ac:dyDescent="0.35">
      <c r="A14" s="40" t="str">
        <f t="shared" si="0"/>
        <v>Moderado-FIAGRO</v>
      </c>
      <c r="B14" s="40" t="s">
        <v>87</v>
      </c>
      <c r="C14" s="37" t="s">
        <v>85</v>
      </c>
      <c r="D14" s="39">
        <v>0.1</v>
      </c>
    </row>
    <row r="15" spans="1:8" ht="16.2" thickTop="1" x14ac:dyDescent="0.3">
      <c r="A15" s="35" t="str">
        <f t="shared" si="0"/>
        <v>Agressivo-PAPEL</v>
      </c>
      <c r="B15" s="35" t="s">
        <v>88</v>
      </c>
      <c r="C15" s="36" t="s">
        <v>80</v>
      </c>
      <c r="D15" s="38">
        <v>0.2</v>
      </c>
    </row>
    <row r="16" spans="1:8" ht="15.6" x14ac:dyDescent="0.3">
      <c r="A16" s="35" t="str">
        <f t="shared" si="0"/>
        <v>Agressivo-TIJOLO</v>
      </c>
      <c r="B16" s="35" t="s">
        <v>88</v>
      </c>
      <c r="C16" s="36" t="s">
        <v>81</v>
      </c>
      <c r="D16" s="38">
        <v>0.2</v>
      </c>
    </row>
    <row r="17" spans="1:4" ht="15.6" x14ac:dyDescent="0.3">
      <c r="A17" s="35" t="str">
        <f t="shared" si="0"/>
        <v>Agressivo-HÍBRIDOS</v>
      </c>
      <c r="B17" s="35" t="s">
        <v>88</v>
      </c>
      <c r="C17" s="36" t="s">
        <v>82</v>
      </c>
      <c r="D17" s="38">
        <v>0.15</v>
      </c>
    </row>
    <row r="18" spans="1:4" ht="15.6" x14ac:dyDescent="0.3">
      <c r="A18" s="35" t="str">
        <f t="shared" si="0"/>
        <v>Agressivo-FOFs</v>
      </c>
      <c r="B18" s="35" t="s">
        <v>88</v>
      </c>
      <c r="C18" s="36" t="s">
        <v>83</v>
      </c>
      <c r="D18" s="38">
        <v>0.15</v>
      </c>
    </row>
    <row r="19" spans="1:4" ht="15.6" x14ac:dyDescent="0.3">
      <c r="A19" s="35" t="str">
        <f t="shared" si="0"/>
        <v>Agressivo-DESENVOLVIMENTO</v>
      </c>
      <c r="B19" s="35" t="s">
        <v>88</v>
      </c>
      <c r="C19" s="36" t="s">
        <v>84</v>
      </c>
      <c r="D19" s="38">
        <v>0.15</v>
      </c>
    </row>
    <row r="20" spans="1:4" ht="15.6" x14ac:dyDescent="0.3">
      <c r="A20" s="35" t="str">
        <f t="shared" si="0"/>
        <v>Agressivo-FIAGRO</v>
      </c>
      <c r="B20" s="35" t="s">
        <v>88</v>
      </c>
      <c r="C20" s="36" t="s">
        <v>85</v>
      </c>
      <c r="D20" s="38">
        <v>0.15</v>
      </c>
    </row>
    <row r="21" spans="1:4" x14ac:dyDescent="0.3"/>
    <row r="22" spans="1:4" ht="13.8" hidden="1" customHeight="1" x14ac:dyDescent="0.3"/>
  </sheetData>
  <mergeCells count="1">
    <mergeCell ref="F6:G6"/>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9</vt:i4>
      </vt:variant>
    </vt:vector>
  </HeadingPairs>
  <TitlesOfParts>
    <vt:vector size="13" baseType="lpstr">
      <vt:lpstr>Resumo sobre FIIs</vt:lpstr>
      <vt:lpstr>Calculadora</vt:lpstr>
      <vt:lpstr>Resumo da Calculadora</vt:lpstr>
      <vt:lpstr>PROCV</vt:lpstr>
      <vt:lpstr>aporte_mensal</vt:lpstr>
      <vt:lpstr>dy_mensal</vt:lpstr>
      <vt:lpstr>ganho_acumulado</vt:lpstr>
      <vt:lpstr>patrimonio_acumulado</vt:lpstr>
      <vt:lpstr>renda_mensal</vt:lpstr>
      <vt:lpstr>rendimento_carteira</vt:lpstr>
      <vt:lpstr>salario</vt:lpstr>
      <vt:lpstr>tempo_de_aportes</vt:lpstr>
      <vt:lpstr>total_aporte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nivaldo mendes</dc:creator>
  <cp:lastModifiedBy>nivaldo mendes</cp:lastModifiedBy>
  <dcterms:created xsi:type="dcterms:W3CDTF">2026-10-13T17:37:59Z</dcterms:created>
  <dcterms:modified xsi:type="dcterms:W3CDTF">2026-10-21T18:46:44Z</dcterms:modified>
</cp:coreProperties>
</file>